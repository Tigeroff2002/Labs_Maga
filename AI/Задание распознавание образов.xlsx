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6" i="1" l="1"/>
  <c r="J37" i="1"/>
  <c r="J38" i="1"/>
  <c r="J39" i="1"/>
  <c r="J40" i="1"/>
  <c r="J41" i="1"/>
  <c r="J35" i="1"/>
  <c r="I35" i="1"/>
  <c r="F36" i="1"/>
  <c r="F37" i="1"/>
  <c r="F38" i="1"/>
  <c r="F39" i="1"/>
  <c r="F40" i="1"/>
  <c r="F41" i="1"/>
  <c r="F35" i="1"/>
  <c r="C36" i="1"/>
  <c r="C37" i="1"/>
  <c r="C38" i="1"/>
  <c r="C39" i="1"/>
  <c r="C40" i="1"/>
  <c r="C41" i="1"/>
  <c r="C35" i="1"/>
  <c r="M26" i="1"/>
  <c r="M27" i="1"/>
  <c r="M28" i="1"/>
  <c r="M29" i="1"/>
  <c r="M30" i="1"/>
  <c r="M31" i="1"/>
  <c r="M25" i="1"/>
  <c r="I26" i="1"/>
  <c r="I27" i="1"/>
  <c r="I28" i="1"/>
  <c r="I29" i="1"/>
  <c r="I30" i="1"/>
  <c r="I31" i="1"/>
  <c r="I25" i="1"/>
  <c r="F26" i="1"/>
  <c r="F27" i="1"/>
  <c r="F28" i="1"/>
  <c r="F29" i="1"/>
  <c r="F30" i="1"/>
  <c r="F31" i="1"/>
  <c r="F25" i="1"/>
  <c r="C26" i="1"/>
  <c r="C27" i="1"/>
  <c r="C28" i="1"/>
  <c r="C29" i="1"/>
  <c r="C30" i="1"/>
  <c r="C31" i="1"/>
  <c r="C25" i="1"/>
  <c r="O14" i="1"/>
  <c r="O15" i="1"/>
  <c r="O16" i="1"/>
  <c r="O17" i="1"/>
  <c r="O18" i="1"/>
  <c r="O19" i="1"/>
  <c r="O13" i="1"/>
  <c r="N14" i="1"/>
  <c r="N15" i="1"/>
  <c r="N16" i="1"/>
  <c r="N17" i="1"/>
  <c r="N18" i="1"/>
  <c r="N19" i="1"/>
  <c r="N13" i="1"/>
  <c r="M14" i="1"/>
  <c r="M15" i="1"/>
  <c r="M16" i="1"/>
  <c r="M17" i="1"/>
  <c r="M18" i="1"/>
  <c r="M19" i="1"/>
  <c r="M13" i="1"/>
  <c r="L14" i="1"/>
  <c r="L15" i="1"/>
  <c r="L16" i="1"/>
  <c r="L17" i="1"/>
  <c r="L18" i="1"/>
  <c r="L19" i="1"/>
  <c r="L13" i="1"/>
  <c r="I36" i="1"/>
  <c r="I37" i="1"/>
  <c r="I38" i="1"/>
  <c r="I39" i="1"/>
  <c r="I40" i="1"/>
  <c r="I41" i="1"/>
  <c r="E36" i="1"/>
  <c r="E37" i="1"/>
  <c r="E38" i="1"/>
  <c r="E39" i="1"/>
  <c r="E40" i="1"/>
  <c r="E41" i="1"/>
  <c r="E35" i="1"/>
  <c r="B36" i="1"/>
  <c r="B37" i="1"/>
  <c r="B38" i="1"/>
  <c r="B39" i="1"/>
  <c r="B40" i="1"/>
  <c r="B41" i="1"/>
  <c r="B35" i="1"/>
  <c r="H26" i="1"/>
  <c r="H27" i="1"/>
  <c r="H28" i="1"/>
  <c r="H29" i="1"/>
  <c r="H30" i="1"/>
  <c r="H31" i="1"/>
  <c r="H25" i="1"/>
  <c r="L26" i="1"/>
  <c r="L27" i="1"/>
  <c r="L28" i="1"/>
  <c r="L29" i="1"/>
  <c r="L30" i="1"/>
  <c r="L31" i="1"/>
  <c r="L25" i="1"/>
  <c r="E26" i="1"/>
  <c r="E27" i="1"/>
  <c r="E28" i="1"/>
  <c r="E29" i="1"/>
  <c r="E30" i="1"/>
  <c r="E31" i="1"/>
  <c r="E25" i="1"/>
  <c r="B26" i="1"/>
  <c r="B27" i="1"/>
  <c r="B28" i="1"/>
  <c r="B29" i="1"/>
  <c r="B30" i="1"/>
  <c r="B31" i="1"/>
  <c r="B25" i="1"/>
  <c r="K13" i="1"/>
  <c r="K14" i="1"/>
  <c r="K15" i="1"/>
  <c r="K16" i="1"/>
  <c r="K17" i="1"/>
  <c r="K18" i="1"/>
  <c r="K19" i="1"/>
  <c r="J14" i="1"/>
  <c r="J15" i="1"/>
  <c r="J16" i="1"/>
  <c r="J17" i="1"/>
  <c r="J18" i="1"/>
  <c r="J19" i="1"/>
  <c r="J13" i="1"/>
  <c r="I13" i="1"/>
  <c r="I14" i="1"/>
  <c r="I15" i="1"/>
  <c r="I16" i="1"/>
  <c r="I17" i="1"/>
  <c r="I18" i="1"/>
  <c r="I19" i="1"/>
  <c r="H14" i="1"/>
  <c r="H15" i="1"/>
  <c r="H16" i="1"/>
  <c r="H17" i="1"/>
  <c r="H18" i="1"/>
  <c r="H19" i="1"/>
  <c r="H13" i="1"/>
</calcChain>
</file>

<file path=xl/sharedStrings.xml><?xml version="1.0" encoding="utf-8"?>
<sst xmlns="http://schemas.openxmlformats.org/spreadsheetml/2006/main" count="163" uniqueCount="95">
  <si>
    <t>Лабрадор</t>
  </si>
  <si>
    <t>X1</t>
  </si>
  <si>
    <t>да</t>
  </si>
  <si>
    <t>нет</t>
  </si>
  <si>
    <t>X2</t>
  </si>
  <si>
    <t>X3</t>
  </si>
  <si>
    <t>Хаски</t>
  </si>
  <si>
    <t>X4</t>
  </si>
  <si>
    <t>X5</t>
  </si>
  <si>
    <t>Такса</t>
  </si>
  <si>
    <t>X6</t>
  </si>
  <si>
    <t>X7</t>
  </si>
  <si>
    <t>Вид породы</t>
  </si>
  <si>
    <t>Вектор признаков</t>
  </si>
  <si>
    <t>Густой двойной шерстяной покров</t>
  </si>
  <si>
    <t>Крупный размер от 50 кг)</t>
  </si>
  <si>
    <t>Высокий в холке (от 50 см)</t>
  </si>
  <si>
    <t>Длинный опущен- ный хвост</t>
  </si>
  <si>
    <t>Подходит для содер- ния в квартире</t>
  </si>
  <si>
    <t>Кавказская овчарка</t>
  </si>
  <si>
    <t>Бассет-хаунд</t>
  </si>
  <si>
    <t>Малый шпиц</t>
  </si>
  <si>
    <t>Чихуахуа</t>
  </si>
  <si>
    <t>Волк обыкновенный</t>
  </si>
  <si>
    <t>Х7</t>
  </si>
  <si>
    <t>Функция S1 (Xi, Xj) = a/(a + b + g + h)= a/n - функция сходства  Рассела  и  Рао</t>
  </si>
  <si>
    <t>S1 (X1, X эталонный)</t>
  </si>
  <si>
    <t>S2 (X2, X эталонный)</t>
  </si>
  <si>
    <t>S3 (X3, X эталонный)</t>
  </si>
  <si>
    <t>S4 (X4, X эталонный)</t>
  </si>
  <si>
    <t>S5 (X5, X эталонный)</t>
  </si>
  <si>
    <t>S1 (X2, X эталонный)</t>
  </si>
  <si>
    <t>S1 (X3, X эталонный)</t>
  </si>
  <si>
    <t>S1 (X4, X эталонный)</t>
  </si>
  <si>
    <t>S1 (X5, X эталонный)</t>
  </si>
  <si>
    <t>S1 (X6, X эталонный)</t>
  </si>
  <si>
    <t>S1 (X7, X эталонный)</t>
  </si>
  <si>
    <t>S2 (X1, X эталонный)</t>
  </si>
  <si>
    <t>S2 (X3, X эталонный)</t>
  </si>
  <si>
    <t>S2 (X4, X эталонный)</t>
  </si>
  <si>
    <t>S2 (X5, X эталонный)</t>
  </si>
  <si>
    <t>S2 (X6, X эталонный)</t>
  </si>
  <si>
    <t>S2 (X7, X эталонный)</t>
  </si>
  <si>
    <t>S2 (Xi, Xj) = a / (n-b)  - функция сходства Жокара и  Нидмена</t>
  </si>
  <si>
    <t>S3 (X1, X эталонный)</t>
  </si>
  <si>
    <t>S3 (X2, X эталонный)</t>
  </si>
  <si>
    <t>S3 (X4, X эталонный)</t>
  </si>
  <si>
    <t>S3 (X5, X эталонный)</t>
  </si>
  <si>
    <t>S3 (X6, X эталонный)</t>
  </si>
  <si>
    <t>S3 (X7, X эталонный)</t>
  </si>
  <si>
    <t>Длинный опущенный хвост</t>
  </si>
  <si>
    <t>S4 (Xi, Xj) = a/a + 2*(g + h) - функция  сходства  Сокаля и Снифа</t>
  </si>
  <si>
    <t>S3 (Xi, Xj) = a/2a + g + h - функция  сходства   Дайса</t>
  </si>
  <si>
    <t>S4 (X1, X эталонный)</t>
  </si>
  <si>
    <t>S4 (X2, X эталонный)</t>
  </si>
  <si>
    <t>S4 (X3, X эталонный)</t>
  </si>
  <si>
    <t>S4 (X5, X эталонный)</t>
  </si>
  <si>
    <t>S4 (X6, X эталонный)</t>
  </si>
  <si>
    <t>S4 (X7, X эталонный)</t>
  </si>
  <si>
    <t>S5 (X1, X эталонный)</t>
  </si>
  <si>
    <t>S5 (X2, X эталонный)</t>
  </si>
  <si>
    <t>S5 (X3, X эталонный)</t>
  </si>
  <si>
    <t>S5 (X4, X эталонный)</t>
  </si>
  <si>
    <t>S5 (X6, X эталонный)</t>
  </si>
  <si>
    <t>S5 (X7, X эталонный)</t>
  </si>
  <si>
    <t>Функция S5 (Xi, Xj) = a+b/n - функция сходства  Сокаля и Мишнера</t>
  </si>
  <si>
    <t>Функция S6 (Xi, Xj) = a+b/g + h - функция сходства  Кульжинского</t>
  </si>
  <si>
    <t>S6 (X1, X эталонный)</t>
  </si>
  <si>
    <t>S6 (X2, X эталонный)</t>
  </si>
  <si>
    <t>S6 (X3, X эталонный)</t>
  </si>
  <si>
    <t>S6 (X4, X эталонный)</t>
  </si>
  <si>
    <t>S6 (X5, X эталонный)</t>
  </si>
  <si>
    <t>S6 (X6, X эталонный)</t>
  </si>
  <si>
    <t>S6 (X7, X эталонный)</t>
  </si>
  <si>
    <t>S7 (X1, X эталонный)</t>
  </si>
  <si>
    <t>S7 (X2, X эталонный)</t>
  </si>
  <si>
    <t>S7 (X3, X эталонный)</t>
  </si>
  <si>
    <t>S7 (X4, X эталонный)</t>
  </si>
  <si>
    <t>S7 (X5, X эталонный)</t>
  </si>
  <si>
    <t>S7 (X6, X эталонный)</t>
  </si>
  <si>
    <t>S7 (X7, X эталонный)</t>
  </si>
  <si>
    <t>Функция S7 (Xi, Xj) = ab-gh/ab + gh - функция сходства  Юла</t>
  </si>
  <si>
    <t>Мопс</t>
  </si>
  <si>
    <t>эталонный 1</t>
  </si>
  <si>
    <t>эталонный 2</t>
  </si>
  <si>
    <t>a1</t>
  </si>
  <si>
    <t>b1</t>
  </si>
  <si>
    <t>g1</t>
  </si>
  <si>
    <t>h1</t>
  </si>
  <si>
    <t>a2</t>
  </si>
  <si>
    <t>b2</t>
  </si>
  <si>
    <t>g2</t>
  </si>
  <si>
    <t>h2</t>
  </si>
  <si>
    <t>эталон 1</t>
  </si>
  <si>
    <t>эталон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</si>
</sst>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"/>
  </numFmts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theme="9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41">
    <xf numFmtId="0" fontId="0" fillId="0" borderId="0" xfId="0"/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3"/>
    </xf>
    <xf numFmtId="0" fontId="4" fillId="0" borderId="3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2"/>
    </xf>
    <xf numFmtId="0" fontId="4" fillId="0" borderId="4" xfId="0" applyFont="1" applyBorder="1" applyAlignment="1">
      <alignment horizontal="left" vertical="center" wrapText="1" indent="3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168" fontId="0" fillId="0" borderId="0" xfId="0" applyNumberFormat="1"/>
    <xf numFmtId="0" fontId="3" fillId="4" borderId="8" xfId="3" applyBorder="1" applyAlignment="1">
      <alignment vertical="center" wrapText="1"/>
    </xf>
    <xf numFmtId="0" fontId="3" fillId="4" borderId="7" xfId="3" applyBorder="1" applyAlignment="1">
      <alignment horizontal="left" vertical="center" wrapText="1" indent="1"/>
    </xf>
    <xf numFmtId="0" fontId="3" fillId="4" borderId="7" xfId="3" applyBorder="1" applyAlignment="1">
      <alignment horizontal="left" vertical="center" wrapText="1" indent="2"/>
    </xf>
    <xf numFmtId="0" fontId="3" fillId="4" borderId="7" xfId="3" applyBorder="1" applyAlignment="1">
      <alignment horizontal="left" vertical="center" wrapText="1" indent="3"/>
    </xf>
    <xf numFmtId="0" fontId="3" fillId="4" borderId="8" xfId="3" applyBorder="1" applyAlignment="1">
      <alignment horizontal="left" vertical="center" wrapText="1" indent="1"/>
    </xf>
    <xf numFmtId="0" fontId="3" fillId="4" borderId="7" xfId="3" applyBorder="1" applyAlignment="1">
      <alignment horizontal="center" vertical="center" wrapText="1"/>
    </xf>
    <xf numFmtId="0" fontId="2" fillId="3" borderId="3" xfId="2" applyBorder="1" applyAlignment="1">
      <alignment horizontal="left" vertical="center" wrapText="1" indent="1"/>
    </xf>
    <xf numFmtId="0" fontId="2" fillId="3" borderId="6" xfId="2" applyBorder="1" applyAlignment="1">
      <alignment vertical="center" wrapText="1"/>
    </xf>
    <xf numFmtId="0" fontId="2" fillId="3" borderId="6" xfId="2" applyBorder="1" applyAlignment="1">
      <alignment horizontal="left" vertical="center" wrapText="1" indent="2"/>
    </xf>
    <xf numFmtId="0" fontId="2" fillId="3" borderId="6" xfId="2" applyBorder="1" applyAlignment="1">
      <alignment horizontal="left" vertical="center" wrapText="1" indent="1"/>
    </xf>
    <xf numFmtId="0" fontId="2" fillId="3" borderId="6" xfId="2" applyBorder="1" applyAlignment="1">
      <alignment horizontal="left" vertical="center" wrapText="1" indent="3"/>
    </xf>
    <xf numFmtId="0" fontId="2" fillId="3" borderId="3" xfId="2" applyBorder="1" applyAlignment="1">
      <alignment vertical="center" wrapText="1"/>
    </xf>
    <xf numFmtId="0" fontId="2" fillId="3" borderId="6" xfId="2" applyBorder="1" applyAlignment="1">
      <alignment horizontal="center" vertical="center" wrapText="1"/>
    </xf>
    <xf numFmtId="0" fontId="2" fillId="3" borderId="7" xfId="2" applyBorder="1" applyAlignment="1">
      <alignment vertical="center" wrapText="1"/>
    </xf>
    <xf numFmtId="0" fontId="3" fillId="4" borderId="7" xfId="3" applyBorder="1" applyAlignment="1">
      <alignment vertical="center" wrapText="1"/>
    </xf>
    <xf numFmtId="0" fontId="2" fillId="3" borderId="0" xfId="2"/>
    <xf numFmtId="0" fontId="3" fillId="4" borderId="0" xfId="3"/>
    <xf numFmtId="0" fontId="1" fillId="2" borderId="0" xfId="1"/>
    <xf numFmtId="168" fontId="1" fillId="2" borderId="0" xfId="1" applyNumberFormat="1"/>
    <xf numFmtId="168" fontId="2" fillId="3" borderId="0" xfId="2" applyNumberFormat="1"/>
    <xf numFmtId="2" fontId="0" fillId="0" borderId="0" xfId="0" applyNumberFormat="1"/>
    <xf numFmtId="2" fontId="1" fillId="2" borderId="0" xfId="1" applyNumberFormat="1"/>
    <xf numFmtId="2" fontId="2" fillId="3" borderId="0" xfId="2" applyNumberFormat="1"/>
  </cellXfs>
  <cellStyles count="4"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tabSelected="1" topLeftCell="A10" workbookViewId="0">
      <selection activeCell="L32" sqref="L32"/>
    </sheetView>
  </sheetViews>
  <sheetFormatPr defaultRowHeight="15" x14ac:dyDescent="0.25"/>
  <cols>
    <col min="1" max="1" width="32.140625" customWidth="1"/>
    <col min="2" max="2" width="18.5703125" customWidth="1"/>
    <col min="3" max="3" width="18.7109375" customWidth="1"/>
    <col min="4" max="4" width="20" customWidth="1"/>
    <col min="5" max="5" width="18.42578125" customWidth="1"/>
    <col min="6" max="6" width="15.5703125" customWidth="1"/>
    <col min="7" max="7" width="21.28515625" customWidth="1"/>
    <col min="8" max="8" width="18.5703125" customWidth="1"/>
    <col min="9" max="9" width="18.28515625" customWidth="1"/>
    <col min="10" max="10" width="18.140625" customWidth="1"/>
    <col min="11" max="11" width="19" customWidth="1"/>
    <col min="12" max="12" width="12.85546875" customWidth="1"/>
    <col min="13" max="13" width="15.140625" customWidth="1"/>
  </cols>
  <sheetData>
    <row r="1" spans="1:15" x14ac:dyDescent="0.25">
      <c r="A1" s="8" t="s">
        <v>12</v>
      </c>
      <c r="B1" s="1"/>
      <c r="C1" s="1"/>
      <c r="D1" s="1"/>
      <c r="E1" s="1"/>
      <c r="F1" s="1"/>
      <c r="G1" s="1"/>
    </row>
    <row r="2" spans="1:15" ht="45.75" thickBot="1" x14ac:dyDescent="0.3">
      <c r="A2" s="9"/>
      <c r="B2" s="2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</row>
    <row r="3" spans="1:15" ht="30.75" thickBot="1" x14ac:dyDescent="0.3">
      <c r="A3" s="4" t="s">
        <v>0</v>
      </c>
      <c r="B3" s="2" t="s">
        <v>1</v>
      </c>
      <c r="C3" s="5" t="s">
        <v>2</v>
      </c>
      <c r="D3" s="2" t="s">
        <v>3</v>
      </c>
      <c r="E3" s="5" t="s">
        <v>2</v>
      </c>
      <c r="F3" s="5" t="s">
        <v>2</v>
      </c>
      <c r="G3" s="6" t="s">
        <v>2</v>
      </c>
    </row>
    <row r="4" spans="1:15" ht="15.75" thickBot="1" x14ac:dyDescent="0.3">
      <c r="A4" s="4" t="s">
        <v>19</v>
      </c>
      <c r="B4" s="2" t="s">
        <v>4</v>
      </c>
      <c r="C4" s="5" t="s">
        <v>2</v>
      </c>
      <c r="D4" s="2" t="s">
        <v>2</v>
      </c>
      <c r="E4" s="5" t="s">
        <v>2</v>
      </c>
      <c r="F4" s="5" t="s">
        <v>2</v>
      </c>
      <c r="G4" s="6" t="s">
        <v>3</v>
      </c>
    </row>
    <row r="5" spans="1:15" ht="15.75" thickBot="1" x14ac:dyDescent="0.3">
      <c r="A5" s="4" t="s">
        <v>20</v>
      </c>
      <c r="B5" s="2" t="s">
        <v>5</v>
      </c>
      <c r="C5" s="5" t="s">
        <v>3</v>
      </c>
      <c r="D5" s="2" t="s">
        <v>3</v>
      </c>
      <c r="E5" s="5" t="s">
        <v>3</v>
      </c>
      <c r="F5" s="5" t="s">
        <v>2</v>
      </c>
      <c r="G5" s="6" t="s">
        <v>2</v>
      </c>
    </row>
    <row r="6" spans="1:15" ht="15.75" thickBot="1" x14ac:dyDescent="0.3">
      <c r="A6" s="4" t="s">
        <v>6</v>
      </c>
      <c r="B6" s="2" t="s">
        <v>7</v>
      </c>
      <c r="C6" s="5" t="s">
        <v>2</v>
      </c>
      <c r="D6" s="2" t="s">
        <v>3</v>
      </c>
      <c r="E6" s="5" t="s">
        <v>2</v>
      </c>
      <c r="F6" s="5" t="s">
        <v>2</v>
      </c>
      <c r="G6" s="6" t="s">
        <v>3</v>
      </c>
    </row>
    <row r="7" spans="1:15" ht="15.75" thickBot="1" x14ac:dyDescent="0.3">
      <c r="A7" s="4" t="s">
        <v>21</v>
      </c>
      <c r="B7" s="2" t="s">
        <v>8</v>
      </c>
      <c r="C7" s="5" t="s">
        <v>2</v>
      </c>
      <c r="D7" s="2" t="s">
        <v>3</v>
      </c>
      <c r="E7" s="5" t="s">
        <v>3</v>
      </c>
      <c r="F7" s="5" t="s">
        <v>3</v>
      </c>
      <c r="G7" s="6" t="s">
        <v>2</v>
      </c>
    </row>
    <row r="8" spans="1:15" ht="15.75" thickBot="1" x14ac:dyDescent="0.3">
      <c r="A8" s="4" t="s">
        <v>9</v>
      </c>
      <c r="B8" s="2" t="s">
        <v>10</v>
      </c>
      <c r="C8" s="5" t="s">
        <v>3</v>
      </c>
      <c r="D8" s="2" t="s">
        <v>3</v>
      </c>
      <c r="E8" s="5" t="s">
        <v>3</v>
      </c>
      <c r="F8" s="5" t="s">
        <v>2</v>
      </c>
      <c r="G8" s="6" t="s">
        <v>2</v>
      </c>
    </row>
    <row r="9" spans="1:15" ht="15.75" thickBot="1" x14ac:dyDescent="0.3">
      <c r="A9" s="4" t="s">
        <v>22</v>
      </c>
      <c r="B9" s="2" t="s">
        <v>11</v>
      </c>
      <c r="C9" s="5" t="s">
        <v>3</v>
      </c>
      <c r="D9" s="2" t="s">
        <v>3</v>
      </c>
      <c r="E9" s="5" t="s">
        <v>3</v>
      </c>
      <c r="F9" s="5" t="s">
        <v>3</v>
      </c>
      <c r="G9" s="6" t="s">
        <v>2</v>
      </c>
    </row>
    <row r="10" spans="1:15" ht="15.75" thickBot="1" x14ac:dyDescent="0.3">
      <c r="A10" s="24" t="s">
        <v>23</v>
      </c>
      <c r="B10" s="25" t="s">
        <v>83</v>
      </c>
      <c r="C10" s="26" t="s">
        <v>2</v>
      </c>
      <c r="D10" s="27" t="s">
        <v>2</v>
      </c>
      <c r="E10" s="26" t="s">
        <v>2</v>
      </c>
      <c r="F10" s="26" t="s">
        <v>2</v>
      </c>
      <c r="G10" s="28" t="s">
        <v>3</v>
      </c>
    </row>
    <row r="11" spans="1:15" x14ac:dyDescent="0.25">
      <c r="A11" s="18" t="s">
        <v>82</v>
      </c>
      <c r="B11" s="19" t="s">
        <v>84</v>
      </c>
      <c r="C11" s="20" t="s">
        <v>3</v>
      </c>
      <c r="D11" s="19" t="s">
        <v>3</v>
      </c>
      <c r="E11" s="20" t="s">
        <v>3</v>
      </c>
      <c r="F11" s="20" t="s">
        <v>3</v>
      </c>
      <c r="G11" s="21" t="s">
        <v>2</v>
      </c>
    </row>
    <row r="12" spans="1:15" ht="45.75" thickBot="1" x14ac:dyDescent="0.3">
      <c r="B12" s="2" t="s">
        <v>13</v>
      </c>
      <c r="C12" s="3" t="s">
        <v>14</v>
      </c>
      <c r="D12" s="3" t="s">
        <v>15</v>
      </c>
      <c r="E12" s="3" t="s">
        <v>16</v>
      </c>
      <c r="F12" s="3" t="s">
        <v>50</v>
      </c>
      <c r="G12" s="3" t="s">
        <v>18</v>
      </c>
      <c r="H12" s="31" t="s">
        <v>85</v>
      </c>
      <c r="I12" s="31" t="s">
        <v>86</v>
      </c>
      <c r="J12" s="31" t="s">
        <v>87</v>
      </c>
      <c r="K12" s="31" t="s">
        <v>88</v>
      </c>
      <c r="L12" s="32" t="s">
        <v>89</v>
      </c>
      <c r="M12" s="32" t="s">
        <v>90</v>
      </c>
      <c r="N12" s="32" t="s">
        <v>91</v>
      </c>
      <c r="O12" s="32" t="s">
        <v>92</v>
      </c>
    </row>
    <row r="13" spans="1:15" ht="15.75" thickBot="1" x14ac:dyDescent="0.3">
      <c r="B13" s="10" t="s">
        <v>1</v>
      </c>
      <c r="C13" s="11">
        <v>1</v>
      </c>
      <c r="D13" s="12">
        <v>0</v>
      </c>
      <c r="E13" s="11">
        <v>1</v>
      </c>
      <c r="F13" s="12">
        <v>1</v>
      </c>
      <c r="G13" s="13">
        <v>1</v>
      </c>
      <c r="H13">
        <f>SUM(C13*$C$20,D13*$D$20,E13*$E$20,F13*$F$20,G13*$G$20)</f>
        <v>3</v>
      </c>
      <c r="I13">
        <f>SUM((1-C13)*(1-$C$20),(1-D13)*(1-$D$20),(1-E13)*(1-$E$20),(1-F13)*(1-$F$20),(1-G13)*(1-$G$20))</f>
        <v>0</v>
      </c>
      <c r="J13">
        <f>SUMIFS(C13:G13, C13:G13,"&gt;0", $C$20:$G$20,"=0")</f>
        <v>1</v>
      </c>
      <c r="K13">
        <f>SUMIFS($C$20:$G$20, $C$20:$G$20,"&gt;0", C13:G13,"=0")</f>
        <v>1</v>
      </c>
      <c r="L13">
        <f>SUM(C13*$C$21,D13*$D$21,E13*$E$21,F13*$F$21,G13*$G$21)</f>
        <v>1</v>
      </c>
      <c r="M13">
        <f>SUM((1-C13)*(1-$C$21),(1-D13)*(1-$D$21),(1-E13)*(1-$E$21),(1-F13)*(1-$F$21),(1-G13)*(1-$G$21))</f>
        <v>1</v>
      </c>
      <c r="N13">
        <f>SUMIFS(C13:G13, C13:G13,"&gt;0", $C$21:$G$21,"=0")</f>
        <v>3</v>
      </c>
      <c r="O13">
        <f>SUMIFS($C$21:$G$21, $C$21:$G$21,"&gt;0", C13:G13,"=0")</f>
        <v>0</v>
      </c>
    </row>
    <row r="14" spans="1:15" ht="15.75" thickBot="1" x14ac:dyDescent="0.3">
      <c r="B14" s="7" t="s">
        <v>4</v>
      </c>
      <c r="C14" s="5">
        <v>1</v>
      </c>
      <c r="D14" s="6">
        <v>1</v>
      </c>
      <c r="E14" s="5">
        <v>1</v>
      </c>
      <c r="F14" s="6">
        <v>1</v>
      </c>
      <c r="G14" s="14">
        <v>0</v>
      </c>
      <c r="H14">
        <f t="shared" ref="H14:H19" si="0">SUM(C14*$C$20,D14*$D$20,E14*$E$20,F14*$F$20,G14*$G$20)</f>
        <v>4</v>
      </c>
      <c r="I14">
        <f t="shared" ref="I14:I19" si="1">SUM((1-C14)*(1-$C$20),(1-D14)*(1-$D$20),(1-E14)*(1-$E$20),(1-F14)*(1-$F$20),(1-G14)*(1-$G$20))</f>
        <v>1</v>
      </c>
      <c r="J14">
        <f t="shared" ref="J14:J19" si="2">SUMIFS(C14:G14, C14:G14,"&gt;0", $C$20:$G$20,"=0")</f>
        <v>0</v>
      </c>
      <c r="K14">
        <f t="shared" ref="K14:K19" si="3">SUMIFS($C$20:$G$20, $C$20:$G$20,"&gt;0", C14:G14,"=0")</f>
        <v>0</v>
      </c>
      <c r="L14">
        <f t="shared" ref="L14:L19" si="4">SUM(C14*$C$21,D14*$D$21,E14*$E$21,F14*$F$21,G14*$G$21)</f>
        <v>0</v>
      </c>
      <c r="M14">
        <f t="shared" ref="M14:M19" si="5">SUM((1-C14)*(1-$C$21),(1-D14)*(1-$D$21),(1-E14)*(1-$E$21),(1-F14)*(1-$F$21),(1-G14)*(1-$G$21))</f>
        <v>0</v>
      </c>
      <c r="N14">
        <f t="shared" ref="N14:N19" si="6">SUMIFS(C14:G14, C14:G14,"&gt;0", $C$21:$G$21,"=0")</f>
        <v>4</v>
      </c>
      <c r="O14">
        <f t="shared" ref="O14:O19" si="7">SUMIFS($C$21:$G$21, $C$21:$G$21,"&gt;0", C14:G14,"=0")</f>
        <v>1</v>
      </c>
    </row>
    <row r="15" spans="1:15" ht="15.75" thickBot="1" x14ac:dyDescent="0.3">
      <c r="B15" s="7" t="s">
        <v>5</v>
      </c>
      <c r="C15" s="5">
        <v>0</v>
      </c>
      <c r="D15" s="6">
        <v>0</v>
      </c>
      <c r="E15" s="5">
        <v>0</v>
      </c>
      <c r="F15" s="6">
        <v>1</v>
      </c>
      <c r="G15" s="14">
        <v>1</v>
      </c>
      <c r="H15">
        <f t="shared" si="0"/>
        <v>1</v>
      </c>
      <c r="I15">
        <f t="shared" si="1"/>
        <v>0</v>
      </c>
      <c r="J15">
        <f t="shared" si="2"/>
        <v>1</v>
      </c>
      <c r="K15">
        <f t="shared" si="3"/>
        <v>3</v>
      </c>
      <c r="L15">
        <f t="shared" si="4"/>
        <v>1</v>
      </c>
      <c r="M15">
        <f t="shared" si="5"/>
        <v>3</v>
      </c>
      <c r="N15">
        <f t="shared" si="6"/>
        <v>1</v>
      </c>
      <c r="O15">
        <f t="shared" si="7"/>
        <v>0</v>
      </c>
    </row>
    <row r="16" spans="1:15" ht="15.75" thickBot="1" x14ac:dyDescent="0.3">
      <c r="B16" s="7" t="s">
        <v>7</v>
      </c>
      <c r="C16" s="5">
        <v>1</v>
      </c>
      <c r="D16" s="6">
        <v>0</v>
      </c>
      <c r="E16" s="5">
        <v>1</v>
      </c>
      <c r="F16" s="6">
        <v>1</v>
      </c>
      <c r="G16" s="14">
        <v>0</v>
      </c>
      <c r="H16">
        <f t="shared" si="0"/>
        <v>3</v>
      </c>
      <c r="I16">
        <f t="shared" si="1"/>
        <v>1</v>
      </c>
      <c r="J16">
        <f t="shared" si="2"/>
        <v>0</v>
      </c>
      <c r="K16">
        <f t="shared" si="3"/>
        <v>1</v>
      </c>
      <c r="L16">
        <f t="shared" si="4"/>
        <v>0</v>
      </c>
      <c r="M16">
        <f t="shared" si="5"/>
        <v>1</v>
      </c>
      <c r="N16">
        <f t="shared" si="6"/>
        <v>3</v>
      </c>
      <c r="O16">
        <f t="shared" si="7"/>
        <v>1</v>
      </c>
    </row>
    <row r="17" spans="1:15" ht="15.75" thickBot="1" x14ac:dyDescent="0.3">
      <c r="B17" s="7" t="s">
        <v>8</v>
      </c>
      <c r="C17" s="5">
        <v>1</v>
      </c>
      <c r="D17" s="6">
        <v>0</v>
      </c>
      <c r="E17" s="5">
        <v>0</v>
      </c>
      <c r="F17" s="6">
        <v>0</v>
      </c>
      <c r="G17" s="14">
        <v>1</v>
      </c>
      <c r="H17">
        <f t="shared" si="0"/>
        <v>1</v>
      </c>
      <c r="I17">
        <f t="shared" si="1"/>
        <v>0</v>
      </c>
      <c r="J17">
        <f t="shared" si="2"/>
        <v>1</v>
      </c>
      <c r="K17">
        <f t="shared" si="3"/>
        <v>3</v>
      </c>
      <c r="L17">
        <f t="shared" si="4"/>
        <v>1</v>
      </c>
      <c r="M17">
        <f t="shared" si="5"/>
        <v>3</v>
      </c>
      <c r="N17">
        <f t="shared" si="6"/>
        <v>1</v>
      </c>
      <c r="O17">
        <f t="shared" si="7"/>
        <v>0</v>
      </c>
    </row>
    <row r="18" spans="1:15" ht="15.75" thickBot="1" x14ac:dyDescent="0.3">
      <c r="B18" s="7" t="s">
        <v>10</v>
      </c>
      <c r="C18" s="5">
        <v>0</v>
      </c>
      <c r="D18" s="6">
        <v>0</v>
      </c>
      <c r="E18" s="5">
        <v>0</v>
      </c>
      <c r="F18" s="6">
        <v>1</v>
      </c>
      <c r="G18" s="14">
        <v>1</v>
      </c>
      <c r="H18">
        <f t="shared" si="0"/>
        <v>1</v>
      </c>
      <c r="I18">
        <f t="shared" si="1"/>
        <v>0</v>
      </c>
      <c r="J18">
        <f t="shared" si="2"/>
        <v>1</v>
      </c>
      <c r="K18">
        <f t="shared" si="3"/>
        <v>3</v>
      </c>
      <c r="L18">
        <f t="shared" si="4"/>
        <v>1</v>
      </c>
      <c r="M18">
        <f t="shared" si="5"/>
        <v>3</v>
      </c>
      <c r="N18">
        <f t="shared" si="6"/>
        <v>1</v>
      </c>
      <c r="O18">
        <f t="shared" si="7"/>
        <v>0</v>
      </c>
    </row>
    <row r="19" spans="1:15" ht="15.75" thickBot="1" x14ac:dyDescent="0.3">
      <c r="B19" s="7" t="s">
        <v>24</v>
      </c>
      <c r="C19" s="5">
        <v>0</v>
      </c>
      <c r="D19" s="6">
        <v>0</v>
      </c>
      <c r="E19" s="5">
        <v>0</v>
      </c>
      <c r="F19" s="6">
        <v>0</v>
      </c>
      <c r="G19" s="14">
        <v>1</v>
      </c>
      <c r="H19">
        <f t="shared" si="0"/>
        <v>0</v>
      </c>
      <c r="I19">
        <f t="shared" si="1"/>
        <v>0</v>
      </c>
      <c r="J19">
        <f t="shared" si="2"/>
        <v>1</v>
      </c>
      <c r="K19">
        <f t="shared" si="3"/>
        <v>4</v>
      </c>
      <c r="L19">
        <f t="shared" si="4"/>
        <v>1</v>
      </c>
      <c r="M19">
        <f t="shared" si="5"/>
        <v>4</v>
      </c>
      <c r="N19">
        <f t="shared" si="6"/>
        <v>0</v>
      </c>
      <c r="O19">
        <f t="shared" si="7"/>
        <v>0</v>
      </c>
    </row>
    <row r="20" spans="1:15" ht="15.75" thickBot="1" x14ac:dyDescent="0.3">
      <c r="B20" s="29" t="s">
        <v>83</v>
      </c>
      <c r="C20" s="26">
        <v>1</v>
      </c>
      <c r="D20" s="28">
        <v>1</v>
      </c>
      <c r="E20" s="26">
        <v>1</v>
      </c>
      <c r="F20" s="28">
        <v>1</v>
      </c>
      <c r="G20" s="30">
        <v>0</v>
      </c>
    </row>
    <row r="21" spans="1:15" x14ac:dyDescent="0.25">
      <c r="B21" s="22" t="s">
        <v>84</v>
      </c>
      <c r="C21" s="20">
        <v>0</v>
      </c>
      <c r="D21" s="21">
        <v>0</v>
      </c>
      <c r="E21" s="20">
        <v>0</v>
      </c>
      <c r="F21" s="21">
        <v>0</v>
      </c>
      <c r="G21" s="23">
        <v>1</v>
      </c>
    </row>
    <row r="23" spans="1:15" x14ac:dyDescent="0.25">
      <c r="A23" t="s">
        <v>25</v>
      </c>
      <c r="D23" t="s">
        <v>43</v>
      </c>
      <c r="G23" t="s">
        <v>52</v>
      </c>
      <c r="K23" t="s">
        <v>51</v>
      </c>
    </row>
    <row r="24" spans="1:15" x14ac:dyDescent="0.25">
      <c r="B24" s="33" t="s">
        <v>93</v>
      </c>
      <c r="C24" s="34" t="s">
        <v>94</v>
      </c>
      <c r="E24" s="33" t="s">
        <v>93</v>
      </c>
      <c r="F24" s="34" t="s">
        <v>94</v>
      </c>
      <c r="H24" s="33" t="s">
        <v>93</v>
      </c>
      <c r="I24" s="34" t="s">
        <v>94</v>
      </c>
      <c r="L24" s="33" t="s">
        <v>93</v>
      </c>
      <c r="M24" s="34" t="s">
        <v>94</v>
      </c>
    </row>
    <row r="25" spans="1:15" x14ac:dyDescent="0.25">
      <c r="A25" t="s">
        <v>26</v>
      </c>
      <c r="B25">
        <f>H13/5</f>
        <v>0.6</v>
      </c>
      <c r="C25">
        <f>L13/5</f>
        <v>0.2</v>
      </c>
      <c r="D25" t="s">
        <v>37</v>
      </c>
      <c r="E25">
        <f>H13/(5-I13)</f>
        <v>0.6</v>
      </c>
      <c r="F25">
        <f>L13/(5-M13)</f>
        <v>0.25</v>
      </c>
      <c r="G25" t="s">
        <v>44</v>
      </c>
      <c r="H25" s="17">
        <f>H13/(2*H13 + J13+K13)</f>
        <v>0.375</v>
      </c>
      <c r="I25" s="17">
        <f>L13/(2*L13 + N13+O13)</f>
        <v>0.2</v>
      </c>
      <c r="K25" t="s">
        <v>53</v>
      </c>
      <c r="L25" s="17">
        <f>H13/(H13 + 2 *(J13+K13))</f>
        <v>0.42857142857142855</v>
      </c>
      <c r="M25" s="17">
        <f>L13/(L13 + 2 *(N13+O13))</f>
        <v>0.14285714285714285</v>
      </c>
    </row>
    <row r="26" spans="1:15" x14ac:dyDescent="0.25">
      <c r="A26" s="15" t="s">
        <v>31</v>
      </c>
      <c r="B26" s="35">
        <f t="shared" ref="B26:B31" si="8">H14/5</f>
        <v>0.8</v>
      </c>
      <c r="C26">
        <f t="shared" ref="C26:C31" si="9">L14/5</f>
        <v>0</v>
      </c>
      <c r="D26" s="15" t="s">
        <v>27</v>
      </c>
      <c r="E26" s="35">
        <f t="shared" ref="E26:E31" si="10">H14/(5-I14)</f>
        <v>1</v>
      </c>
      <c r="F26" s="33">
        <f t="shared" ref="F26:F31" si="11">L14/(5-M14)</f>
        <v>0</v>
      </c>
      <c r="G26" s="15" t="s">
        <v>45</v>
      </c>
      <c r="H26" s="36">
        <f t="shared" ref="H26:H31" si="12">H14/(2*H14 + J14+K14)</f>
        <v>0.5</v>
      </c>
      <c r="I26" s="37">
        <f t="shared" ref="I26:I31" si="13">L14/(2*L14 + N14+O14)</f>
        <v>0</v>
      </c>
      <c r="K26" s="15" t="s">
        <v>54</v>
      </c>
      <c r="L26" s="36">
        <f t="shared" ref="L26:L31" si="14">H14/(H14 + 2 *(J14+K14))</f>
        <v>1</v>
      </c>
      <c r="M26" s="37">
        <f t="shared" ref="M26:M31" si="15">L14/(L14 + 2 *(N14+O14))</f>
        <v>0</v>
      </c>
    </row>
    <row r="27" spans="1:15" x14ac:dyDescent="0.25">
      <c r="A27" t="s">
        <v>32</v>
      </c>
      <c r="B27">
        <f t="shared" si="8"/>
        <v>0.2</v>
      </c>
      <c r="C27">
        <f t="shared" si="9"/>
        <v>0.2</v>
      </c>
      <c r="D27" t="s">
        <v>38</v>
      </c>
      <c r="E27">
        <f t="shared" si="10"/>
        <v>0.2</v>
      </c>
      <c r="F27">
        <f t="shared" si="11"/>
        <v>0.5</v>
      </c>
      <c r="G27" t="s">
        <v>28</v>
      </c>
      <c r="H27" s="17">
        <f t="shared" si="12"/>
        <v>0.16666666666666666</v>
      </c>
      <c r="I27" s="17">
        <f t="shared" si="13"/>
        <v>0.33333333333333331</v>
      </c>
      <c r="K27" t="s">
        <v>55</v>
      </c>
      <c r="L27" s="17">
        <f t="shared" si="14"/>
        <v>0.1111111111111111</v>
      </c>
      <c r="M27" s="17">
        <f t="shared" si="15"/>
        <v>0.33333333333333331</v>
      </c>
    </row>
    <row r="28" spans="1:15" x14ac:dyDescent="0.25">
      <c r="A28" t="s">
        <v>33</v>
      </c>
      <c r="B28">
        <f t="shared" si="8"/>
        <v>0.6</v>
      </c>
      <c r="C28">
        <f t="shared" si="9"/>
        <v>0</v>
      </c>
      <c r="D28" t="s">
        <v>39</v>
      </c>
      <c r="E28">
        <f t="shared" si="10"/>
        <v>0.75</v>
      </c>
      <c r="F28" s="33">
        <f t="shared" si="11"/>
        <v>0</v>
      </c>
      <c r="G28" t="s">
        <v>46</v>
      </c>
      <c r="H28" s="17">
        <f t="shared" si="12"/>
        <v>0.42857142857142855</v>
      </c>
      <c r="I28" s="37">
        <f t="shared" si="13"/>
        <v>0</v>
      </c>
      <c r="K28" t="s">
        <v>29</v>
      </c>
      <c r="L28" s="17">
        <f t="shared" si="14"/>
        <v>0.6</v>
      </c>
      <c r="M28" s="37">
        <f t="shared" si="15"/>
        <v>0</v>
      </c>
    </row>
    <row r="29" spans="1:15" x14ac:dyDescent="0.25">
      <c r="A29" t="s">
        <v>34</v>
      </c>
      <c r="B29">
        <f t="shared" si="8"/>
        <v>0.2</v>
      </c>
      <c r="C29">
        <f t="shared" si="9"/>
        <v>0.2</v>
      </c>
      <c r="D29" t="s">
        <v>40</v>
      </c>
      <c r="E29">
        <f t="shared" si="10"/>
        <v>0.2</v>
      </c>
      <c r="F29">
        <f t="shared" si="11"/>
        <v>0.5</v>
      </c>
      <c r="G29" t="s">
        <v>47</v>
      </c>
      <c r="H29" s="17">
        <f t="shared" si="12"/>
        <v>0.16666666666666666</v>
      </c>
      <c r="I29" s="17">
        <f t="shared" si="13"/>
        <v>0.33333333333333331</v>
      </c>
      <c r="K29" t="s">
        <v>56</v>
      </c>
      <c r="L29" s="17">
        <f t="shared" si="14"/>
        <v>0.1111111111111111</v>
      </c>
      <c r="M29" s="17">
        <f t="shared" si="15"/>
        <v>0.33333333333333331</v>
      </c>
    </row>
    <row r="30" spans="1:15" x14ac:dyDescent="0.25">
      <c r="A30" t="s">
        <v>35</v>
      </c>
      <c r="B30">
        <f t="shared" si="8"/>
        <v>0.2</v>
      </c>
      <c r="C30">
        <f t="shared" si="9"/>
        <v>0.2</v>
      </c>
      <c r="D30" t="s">
        <v>41</v>
      </c>
      <c r="E30">
        <f t="shared" si="10"/>
        <v>0.2</v>
      </c>
      <c r="F30">
        <f t="shared" si="11"/>
        <v>0.5</v>
      </c>
      <c r="G30" t="s">
        <v>48</v>
      </c>
      <c r="H30" s="17">
        <f t="shared" si="12"/>
        <v>0.16666666666666666</v>
      </c>
      <c r="I30" s="17">
        <f t="shared" si="13"/>
        <v>0.33333333333333331</v>
      </c>
      <c r="K30" t="s">
        <v>57</v>
      </c>
      <c r="L30" s="17">
        <f t="shared" si="14"/>
        <v>0.1111111111111111</v>
      </c>
      <c r="M30" s="17">
        <f t="shared" si="15"/>
        <v>0.33333333333333331</v>
      </c>
    </row>
    <row r="31" spans="1:15" x14ac:dyDescent="0.25">
      <c r="A31" s="16" t="s">
        <v>36</v>
      </c>
      <c r="B31" s="33">
        <f t="shared" si="8"/>
        <v>0</v>
      </c>
      <c r="C31">
        <f t="shared" si="9"/>
        <v>0.2</v>
      </c>
      <c r="D31" s="16" t="s">
        <v>42</v>
      </c>
      <c r="E31" s="33">
        <f t="shared" si="10"/>
        <v>0</v>
      </c>
      <c r="F31" s="35">
        <f t="shared" si="11"/>
        <v>1</v>
      </c>
      <c r="G31" s="16" t="s">
        <v>49</v>
      </c>
      <c r="H31" s="37">
        <f t="shared" si="12"/>
        <v>0</v>
      </c>
      <c r="I31" s="36">
        <f t="shared" si="13"/>
        <v>0.5</v>
      </c>
      <c r="K31" s="16" t="s">
        <v>58</v>
      </c>
      <c r="L31" s="37">
        <f t="shared" si="14"/>
        <v>0</v>
      </c>
      <c r="M31" s="36">
        <f t="shared" si="15"/>
        <v>1</v>
      </c>
    </row>
    <row r="33" spans="1:10" x14ac:dyDescent="0.25">
      <c r="A33" t="s">
        <v>65</v>
      </c>
      <c r="D33" t="s">
        <v>66</v>
      </c>
      <c r="H33" t="s">
        <v>81</v>
      </c>
    </row>
    <row r="34" spans="1:10" x14ac:dyDescent="0.25">
      <c r="B34" s="33" t="s">
        <v>93</v>
      </c>
      <c r="C34" s="34" t="s">
        <v>94</v>
      </c>
      <c r="E34" s="33" t="s">
        <v>93</v>
      </c>
      <c r="F34" s="34" t="s">
        <v>94</v>
      </c>
      <c r="I34" s="33" t="s">
        <v>93</v>
      </c>
      <c r="J34" s="34" t="s">
        <v>94</v>
      </c>
    </row>
    <row r="35" spans="1:10" x14ac:dyDescent="0.25">
      <c r="A35" t="s">
        <v>59</v>
      </c>
      <c r="B35">
        <f>(H13+I13)/5</f>
        <v>0.6</v>
      </c>
      <c r="C35">
        <f>(L13+M13)/5</f>
        <v>0.4</v>
      </c>
      <c r="D35" t="s">
        <v>67</v>
      </c>
      <c r="E35">
        <f>(H13+I13)/(J13+K13)</f>
        <v>1.5</v>
      </c>
      <c r="F35" s="38">
        <f>(L13+M13)/(N13+O13)</f>
        <v>0.66666666666666663</v>
      </c>
      <c r="H35" t="s">
        <v>74</v>
      </c>
      <c r="I35">
        <f>(L13*M13-N13*O13)/(L13*M13+N13*O13)</f>
        <v>1</v>
      </c>
      <c r="J35">
        <f>(L13*M13-N13*O13)/(L13*M13+N13*O13)</f>
        <v>1</v>
      </c>
    </row>
    <row r="36" spans="1:10" x14ac:dyDescent="0.25">
      <c r="A36" s="15" t="s">
        <v>60</v>
      </c>
      <c r="B36" s="15">
        <f t="shared" ref="B36:B41" si="16">(H14+I14)/5</f>
        <v>1</v>
      </c>
      <c r="C36" s="33">
        <f t="shared" ref="C36:C41" si="17">(L14+M14)/5</f>
        <v>0</v>
      </c>
      <c r="D36" s="15" t="s">
        <v>68</v>
      </c>
      <c r="E36" s="15" t="e">
        <f t="shared" ref="E36:E41" si="18">(H14+I14)/(J14+K14)</f>
        <v>#DIV/0!</v>
      </c>
      <c r="F36" s="40">
        <f t="shared" ref="F36:F41" si="19">(L14+M14)/(N14+O14)</f>
        <v>0</v>
      </c>
      <c r="H36" s="15" t="s">
        <v>75</v>
      </c>
      <c r="I36" s="35">
        <f t="shared" ref="I36:I41" si="20">(H14*I14-J14*K14)/(H14*I14+J14*K14)</f>
        <v>1</v>
      </c>
      <c r="J36" s="33">
        <f t="shared" ref="J36:J41" si="21">(L14*M14-N14*O14)/(L14*M14+N14*O14)</f>
        <v>-1</v>
      </c>
    </row>
    <row r="37" spans="1:10" x14ac:dyDescent="0.25">
      <c r="A37" t="s">
        <v>61</v>
      </c>
      <c r="B37">
        <f t="shared" si="16"/>
        <v>0.2</v>
      </c>
      <c r="C37">
        <f t="shared" si="17"/>
        <v>0.8</v>
      </c>
      <c r="D37" t="s">
        <v>69</v>
      </c>
      <c r="E37">
        <f t="shared" si="18"/>
        <v>0.25</v>
      </c>
      <c r="F37" s="38">
        <f t="shared" si="19"/>
        <v>4</v>
      </c>
      <c r="H37" t="s">
        <v>76</v>
      </c>
      <c r="I37">
        <f t="shared" si="20"/>
        <v>-1</v>
      </c>
      <c r="J37">
        <f t="shared" si="21"/>
        <v>1</v>
      </c>
    </row>
    <row r="38" spans="1:10" x14ac:dyDescent="0.25">
      <c r="A38" t="s">
        <v>62</v>
      </c>
      <c r="B38">
        <f t="shared" si="16"/>
        <v>0.8</v>
      </c>
      <c r="C38">
        <f t="shared" si="17"/>
        <v>0.2</v>
      </c>
      <c r="D38" t="s">
        <v>70</v>
      </c>
      <c r="E38">
        <f t="shared" si="18"/>
        <v>4</v>
      </c>
      <c r="F38" s="38">
        <f t="shared" si="19"/>
        <v>0.25</v>
      </c>
      <c r="H38" s="15" t="s">
        <v>77</v>
      </c>
      <c r="I38" s="35">
        <f t="shared" si="20"/>
        <v>1</v>
      </c>
      <c r="J38" s="33">
        <f t="shared" si="21"/>
        <v>-1</v>
      </c>
    </row>
    <row r="39" spans="1:10" x14ac:dyDescent="0.25">
      <c r="A39" t="s">
        <v>30</v>
      </c>
      <c r="B39">
        <f t="shared" si="16"/>
        <v>0.2</v>
      </c>
      <c r="C39">
        <f t="shared" si="17"/>
        <v>0.8</v>
      </c>
      <c r="D39" t="s">
        <v>71</v>
      </c>
      <c r="E39">
        <f t="shared" si="18"/>
        <v>0.25</v>
      </c>
      <c r="F39" s="38">
        <f t="shared" si="19"/>
        <v>4</v>
      </c>
      <c r="H39" t="s">
        <v>78</v>
      </c>
      <c r="I39">
        <f t="shared" si="20"/>
        <v>-1</v>
      </c>
      <c r="J39">
        <f t="shared" si="21"/>
        <v>1</v>
      </c>
    </row>
    <row r="40" spans="1:10" x14ac:dyDescent="0.25">
      <c r="A40" t="s">
        <v>63</v>
      </c>
      <c r="B40">
        <f t="shared" si="16"/>
        <v>0.2</v>
      </c>
      <c r="C40">
        <f t="shared" si="17"/>
        <v>0.8</v>
      </c>
      <c r="D40" t="s">
        <v>72</v>
      </c>
      <c r="E40">
        <f t="shared" si="18"/>
        <v>0.25</v>
      </c>
      <c r="F40" s="38">
        <f t="shared" si="19"/>
        <v>4</v>
      </c>
      <c r="H40" t="s">
        <v>79</v>
      </c>
      <c r="I40">
        <f t="shared" si="20"/>
        <v>-1</v>
      </c>
      <c r="J40">
        <f t="shared" si="21"/>
        <v>1</v>
      </c>
    </row>
    <row r="41" spans="1:10" x14ac:dyDescent="0.25">
      <c r="A41" s="16" t="s">
        <v>64</v>
      </c>
      <c r="B41" s="16">
        <f t="shared" si="16"/>
        <v>0</v>
      </c>
      <c r="C41" s="35">
        <f t="shared" si="17"/>
        <v>1</v>
      </c>
      <c r="D41" s="16" t="s">
        <v>73</v>
      </c>
      <c r="E41" s="16">
        <f t="shared" si="18"/>
        <v>0</v>
      </c>
      <c r="F41" s="39" t="e">
        <f t="shared" si="19"/>
        <v>#DIV/0!</v>
      </c>
      <c r="H41" s="16" t="s">
        <v>80</v>
      </c>
      <c r="I41">
        <f t="shared" si="20"/>
        <v>-1</v>
      </c>
      <c r="J41">
        <f t="shared" si="21"/>
        <v>1</v>
      </c>
    </row>
  </sheetData>
  <mergeCells count="1">
    <mergeCell ref="A1: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2025-05-17T10:21:03Z</dcterms:modified>
</cp:coreProperties>
</file>