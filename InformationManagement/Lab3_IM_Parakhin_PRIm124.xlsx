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ah\Desktop\Labs_maga\InformationManagement\"/>
    </mc:Choice>
  </mc:AlternateContent>
  <bookViews>
    <workbookView xWindow="0" yWindow="0" windowWidth="23040" windowHeight="9195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I13" i="1" l="1"/>
  <c r="I3" i="1"/>
  <c r="I6" i="1"/>
  <c r="L11" i="1"/>
  <c r="I5" i="1" l="1"/>
  <c r="I14" i="1"/>
  <c r="I15" i="1" l="1"/>
  <c r="L13" i="1" s="1"/>
  <c r="L10" i="1" l="1"/>
  <c r="I7" i="1"/>
  <c r="I4" i="1" s="1"/>
  <c r="L9" i="1" s="1"/>
  <c r="I10" i="1" l="1"/>
  <c r="I11" i="1" s="1"/>
</calcChain>
</file>

<file path=xl/sharedStrings.xml><?xml version="1.0" encoding="utf-8"?>
<sst xmlns="http://schemas.openxmlformats.org/spreadsheetml/2006/main" count="64" uniqueCount="56">
  <si>
    <t>Показатели</t>
  </si>
  <si>
    <t>Обозначение</t>
  </si>
  <si>
    <t>Единица измерения</t>
  </si>
  <si>
    <t>Величина показателя</t>
  </si>
  <si>
    <t>До внедрения</t>
  </si>
  <si>
    <t>После внедрения</t>
  </si>
  <si>
    <t>ОС1=</t>
  </si>
  <si>
    <t>Z</t>
  </si>
  <si>
    <t>руб.</t>
  </si>
  <si>
    <t>Т</t>
  </si>
  <si>
    <t>чел./день</t>
  </si>
  <si>
    <t>C1=</t>
  </si>
  <si>
    <t>K3=</t>
  </si>
  <si>
    <t>Z2</t>
  </si>
  <si>
    <t>-</t>
  </si>
  <si>
    <t>C2=</t>
  </si>
  <si>
    <t>K31=</t>
  </si>
  <si>
    <t>Т2</t>
  </si>
  <si>
    <t>C3=</t>
  </si>
  <si>
    <t>K32=</t>
  </si>
  <si>
    <t>S=</t>
  </si>
  <si>
    <t>Коэффициент накладных расходов</t>
  </si>
  <si>
    <t>K33=</t>
  </si>
  <si>
    <t>Коэффициент дополнительной зарплаты</t>
  </si>
  <si>
    <t>Себестоимость часа работы ПЭВМ</t>
  </si>
  <si>
    <t>Sq</t>
  </si>
  <si>
    <t>руб./час</t>
  </si>
  <si>
    <t>Время работы ПЭВМ для решения задачи (мес.)</t>
  </si>
  <si>
    <t>Tz</t>
  </si>
  <si>
    <t>маш./час</t>
  </si>
  <si>
    <t>Время работы ПЭВМ на обучение, адаптацию, настройку оборудования</t>
  </si>
  <si>
    <t>T</t>
  </si>
  <si>
    <t>Коэффициент настройки оборудования</t>
  </si>
  <si>
    <t>Длительность проектирования</t>
  </si>
  <si>
    <t>N</t>
  </si>
  <si>
    <t>год</t>
  </si>
  <si>
    <t>Среднее количество рабочих дней в месяце</t>
  </si>
  <si>
    <t>Q</t>
  </si>
  <si>
    <t>дней</t>
  </si>
  <si>
    <t>Коэффициент прочих расходов</t>
  </si>
  <si>
    <t>h</t>
  </si>
  <si>
    <t>Нормативный коэффициент эффективности капитальных вложений</t>
  </si>
  <si>
    <t>Еnce</t>
  </si>
  <si>
    <t>ОС2=</t>
  </si>
  <si>
    <t>К=</t>
  </si>
  <si>
    <t>К1=</t>
  </si>
  <si>
    <t>К2=</t>
  </si>
  <si>
    <t>a</t>
  </si>
  <si>
    <t>b</t>
  </si>
  <si>
    <t>g</t>
  </si>
  <si>
    <t>Er=</t>
  </si>
  <si>
    <t>T=</t>
  </si>
  <si>
    <t>Месячная зарплата сотрудника мониторинга</t>
  </si>
  <si>
    <t>Затраты труда сотрудника мониторинга</t>
  </si>
  <si>
    <t>Месячная зарплата аналитика отчетности</t>
  </si>
  <si>
    <t>Затраты труда аналитика отчетности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</si>
</sst>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</font>
    <font>
      <sz val="11"/>
      <color rgb="FF006100"/>
      <name val="Arial"/>
      <family val="2"/>
      <charset val="204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6100"/>
      <name val="Times New Roman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 applyFont="1" applyAlignment="1"/>
    <xf numFmtId="3" fontId="0" fillId="0" borderId="0" xfId="0" applyNumberFormat="1" applyFont="1" applyAlignment="1"/>
    <xf numFmtId="0" fontId="2" fillId="0" borderId="0" xfId="0" applyFont="1" applyAlignment="1"/>
    <xf numFmtId="3" fontId="2" fillId="0" borderId="0" xfId="0" applyNumberFormat="1" applyFont="1" applyAlignment="1"/>
    <xf numFmtId="3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4" fillId="0" borderId="0" xfId="1" applyNumberFormat="1" applyFont="1" applyFill="1" applyAlignment="1">
      <alignment horizontal="right" vertical="center"/>
    </xf>
    <xf numFmtId="3" fontId="4" fillId="0" borderId="0" xfId="1" applyNumberFormat="1" applyFont="1" applyFill="1" applyAlignment="1">
      <alignment horizontal="left" vertical="center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5" fillId="0" borderId="0" xfId="0" applyFont="1" applyAlignment="1">
      <alignment vertical="center" wrapText="1"/>
    </xf>
    <xf numFmtId="0" fontId="6" fillId="0" borderId="4" xfId="0" applyFont="1" applyBorder="1"/>
    <xf numFmtId="0" fontId="5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right" vertical="center"/>
    </xf>
    <xf numFmtId="3" fontId="7" fillId="0" borderId="6" xfId="0" applyNumberFormat="1" applyFont="1" applyBorder="1" applyAlignment="1">
      <alignment horizontal="left" vertical="center"/>
    </xf>
    <xf numFmtId="3" fontId="5" fillId="0" borderId="0" xfId="0" applyNumberFormat="1" applyFont="1" applyAlignment="1"/>
    <xf numFmtId="0" fontId="5" fillId="0" borderId="5" xfId="0" applyFont="1" applyBorder="1" applyAlignment="1">
      <alignment horizontal="left" vertical="center" wrapText="1"/>
    </xf>
    <xf numFmtId="3" fontId="7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/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/>
    </xf>
    <xf numFmtId="0" fontId="7" fillId="0" borderId="5" xfId="0" applyFont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right" vertical="center"/>
    </xf>
    <xf numFmtId="3" fontId="6" fillId="0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/>
    </xf>
    <xf numFmtId="4" fontId="5" fillId="0" borderId="6" xfId="0" applyNumberFormat="1" applyFont="1" applyBorder="1" applyAlignment="1">
      <alignment horizontal="center" vertical="center"/>
    </xf>
    <xf numFmtId="3" fontId="6" fillId="0" borderId="6" xfId="1" applyNumberFormat="1" applyFont="1" applyFill="1" applyBorder="1" applyAlignment="1">
      <alignment horizontal="center" vertical="center"/>
    </xf>
    <xf numFmtId="3" fontId="5" fillId="0" borderId="6" xfId="0" applyNumberFormat="1" applyFont="1" applyBorder="1" applyAlignment="1">
      <alignment horizontal="right" vertical="center"/>
    </xf>
    <xf numFmtId="3" fontId="5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7" fillId="0" borderId="6" xfId="0" applyNumberFormat="1" applyFont="1" applyBorder="1" applyAlignment="1">
      <alignment horizontal="right" vertical="center"/>
    </xf>
    <xf numFmtId="3" fontId="6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right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17"/>
  <sheetViews>
    <sheetView tabSelected="1" zoomScale="80" zoomScaleNormal="80" workbookViewId="0">
      <selection sqref="A1:L17"/>
    </sheetView>
  </sheetViews>
  <sheetFormatPr defaultColWidth="14.42578125" defaultRowHeight="15.75" customHeight="1" x14ac:dyDescent="0.2"/>
  <cols>
    <col min="1" max="1" width="27.7109375" customWidth="1"/>
    <col min="2" max="2" width="8.5703125" customWidth="1"/>
    <col min="3" max="3" width="10.42578125" customWidth="1"/>
    <col min="4" max="4" width="13.7109375" customWidth="1"/>
    <col min="8" max="8" width="6.42578125" customWidth="1"/>
    <col min="9" max="9" width="10.5703125" customWidth="1"/>
    <col min="10" max="10" width="7.85546875" customWidth="1"/>
    <col min="11" max="11" width="5.7109375" customWidth="1"/>
    <col min="12" max="12" width="10.5703125" customWidth="1"/>
    <col min="13" max="13" width="5.85546875" customWidth="1"/>
    <col min="14" max="14" width="6.85546875" customWidth="1"/>
    <col min="15" max="15" width="11.5703125" customWidth="1"/>
  </cols>
  <sheetData>
    <row r="1" spans="1:17" ht="15.75" customHeight="1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"/>
      <c r="N1" s="2"/>
      <c r="O1" s="2"/>
    </row>
    <row r="2" spans="1:17" ht="18.75" x14ac:dyDescent="0.3">
      <c r="A2" s="9" t="s">
        <v>0</v>
      </c>
      <c r="B2" s="9" t="s">
        <v>1</v>
      </c>
      <c r="C2" s="9" t="s">
        <v>2</v>
      </c>
      <c r="D2" s="10" t="s">
        <v>3</v>
      </c>
      <c r="E2" s="11"/>
      <c r="F2" s="8"/>
      <c r="G2" s="12"/>
      <c r="H2" s="8"/>
      <c r="I2" s="8"/>
      <c r="J2" s="8"/>
      <c r="K2" s="8"/>
      <c r="L2" s="8"/>
      <c r="M2" s="2"/>
      <c r="N2" s="2"/>
      <c r="O2" s="2"/>
    </row>
    <row r="3" spans="1:17" ht="37.5" x14ac:dyDescent="0.3">
      <c r="A3" s="13"/>
      <c r="B3" s="13"/>
      <c r="C3" s="13"/>
      <c r="D3" s="14" t="s">
        <v>4</v>
      </c>
      <c r="E3" s="14" t="s">
        <v>5</v>
      </c>
      <c r="F3" s="8"/>
      <c r="G3" s="12"/>
      <c r="H3" s="15" t="s">
        <v>6</v>
      </c>
      <c r="I3" s="16">
        <f>(D4*D5 + D6*D7)/D15*(1+D8)*(1+D9)*12</f>
        <v>255272.72727272726</v>
      </c>
      <c r="J3" s="17"/>
      <c r="K3" s="17"/>
      <c r="L3" s="17"/>
      <c r="M3" s="3"/>
      <c r="N3" s="3"/>
      <c r="O3" s="3"/>
      <c r="P3" s="1"/>
      <c r="Q3" s="1"/>
    </row>
    <row r="4" spans="1:17" ht="56.25" x14ac:dyDescent="0.3">
      <c r="A4" s="18" t="s">
        <v>52</v>
      </c>
      <c r="B4" s="14" t="s">
        <v>7</v>
      </c>
      <c r="C4" s="14" t="s">
        <v>8</v>
      </c>
      <c r="D4" s="14">
        <v>40000</v>
      </c>
      <c r="E4" s="14">
        <v>40000</v>
      </c>
      <c r="F4" s="8"/>
      <c r="G4" s="12"/>
      <c r="H4" s="19" t="s">
        <v>43</v>
      </c>
      <c r="I4" s="20">
        <f>I5+I6+I7</f>
        <v>123557.23636363637</v>
      </c>
      <c r="J4" s="17"/>
      <c r="K4" s="17"/>
      <c r="L4" s="17"/>
      <c r="M4" s="3"/>
      <c r="N4" s="3"/>
      <c r="O4" s="3"/>
      <c r="P4" s="1"/>
      <c r="Q4" s="1"/>
    </row>
    <row r="5" spans="1:17" ht="33" customHeight="1" x14ac:dyDescent="0.3">
      <c r="A5" s="18" t="s">
        <v>53</v>
      </c>
      <c r="B5" s="14" t="s">
        <v>9</v>
      </c>
      <c r="C5" s="14" t="s">
        <v>10</v>
      </c>
      <c r="D5" s="14">
        <v>5</v>
      </c>
      <c r="E5" s="14">
        <v>2</v>
      </c>
      <c r="F5" s="8"/>
      <c r="G5" s="8"/>
      <c r="H5" s="15" t="s">
        <v>11</v>
      </c>
      <c r="I5" s="16">
        <f>12*E10*E11</f>
        <v>5760</v>
      </c>
      <c r="J5" s="17"/>
      <c r="K5" s="21"/>
      <c r="L5" s="22"/>
      <c r="M5" s="3"/>
      <c r="N5" s="5"/>
      <c r="O5" s="4"/>
      <c r="P5" s="1"/>
      <c r="Q5" s="1"/>
    </row>
    <row r="6" spans="1:17" ht="37.5" x14ac:dyDescent="0.3">
      <c r="A6" s="18" t="s">
        <v>54</v>
      </c>
      <c r="B6" s="14" t="s">
        <v>13</v>
      </c>
      <c r="C6" s="14" t="s">
        <v>8</v>
      </c>
      <c r="D6" s="14">
        <v>50000</v>
      </c>
      <c r="E6" s="14">
        <v>50000</v>
      </c>
      <c r="F6" s="8"/>
      <c r="G6" s="8"/>
      <c r="H6" s="15" t="s">
        <v>15</v>
      </c>
      <c r="I6" s="16">
        <f>(E4*E5 + E6*E7)/E15*(1+E8)*(1+E9)*12</f>
        <v>110618.18181818182</v>
      </c>
      <c r="J6" s="17"/>
      <c r="K6" s="21"/>
      <c r="L6" s="22"/>
      <c r="M6" s="3"/>
      <c r="N6" s="3"/>
      <c r="O6" s="3"/>
      <c r="P6" s="1"/>
      <c r="Q6" s="1"/>
    </row>
    <row r="7" spans="1:17" ht="37.5" x14ac:dyDescent="0.3">
      <c r="A7" s="18" t="s">
        <v>55</v>
      </c>
      <c r="B7" s="14" t="s">
        <v>17</v>
      </c>
      <c r="C7" s="14" t="s">
        <v>10</v>
      </c>
      <c r="D7" s="14">
        <v>2</v>
      </c>
      <c r="E7" s="14">
        <v>1</v>
      </c>
      <c r="F7" s="8"/>
      <c r="G7" s="8"/>
      <c r="H7" s="15" t="s">
        <v>18</v>
      </c>
      <c r="I7" s="16">
        <f>L13*E13</f>
        <v>7179.0545454545463</v>
      </c>
      <c r="J7" s="17"/>
      <c r="K7" s="23"/>
      <c r="L7" s="22"/>
      <c r="M7" s="3"/>
      <c r="N7" s="6"/>
      <c r="O7" s="7"/>
      <c r="P7" s="1"/>
      <c r="Q7" s="1"/>
    </row>
    <row r="8" spans="1:17" ht="37.5" x14ac:dyDescent="0.3">
      <c r="A8" s="18" t="s">
        <v>21</v>
      </c>
      <c r="B8" s="14" t="s">
        <v>47</v>
      </c>
      <c r="C8" s="24"/>
      <c r="D8" s="14">
        <v>0.2</v>
      </c>
      <c r="E8" s="14">
        <v>0.2</v>
      </c>
      <c r="F8" s="8"/>
      <c r="G8" s="8"/>
      <c r="H8" s="8"/>
      <c r="I8" s="17"/>
      <c r="J8" s="17"/>
      <c r="K8" s="21"/>
      <c r="L8" s="22"/>
      <c r="M8" s="3"/>
      <c r="N8" s="3"/>
      <c r="O8" s="3"/>
      <c r="P8" s="1"/>
      <c r="Q8" s="1"/>
    </row>
    <row r="9" spans="1:17" ht="56.25" x14ac:dyDescent="0.3">
      <c r="A9" s="18" t="s">
        <v>23</v>
      </c>
      <c r="B9" s="14" t="s">
        <v>48</v>
      </c>
      <c r="C9" s="24"/>
      <c r="D9" s="14">
        <v>0.3</v>
      </c>
      <c r="E9" s="14">
        <v>0.3</v>
      </c>
      <c r="F9" s="8"/>
      <c r="G9" s="8"/>
      <c r="H9" s="8"/>
      <c r="I9" s="17"/>
      <c r="J9" s="17"/>
      <c r="K9" s="25" t="s">
        <v>20</v>
      </c>
      <c r="L9" s="26">
        <f>I3-I4</f>
        <v>131715.49090909091</v>
      </c>
      <c r="M9" s="3"/>
      <c r="N9" s="3"/>
      <c r="O9" s="3"/>
      <c r="P9" s="1"/>
      <c r="Q9" s="1"/>
    </row>
    <row r="10" spans="1:17" ht="37.5" x14ac:dyDescent="0.3">
      <c r="A10" s="18" t="s">
        <v>24</v>
      </c>
      <c r="B10" s="14" t="s">
        <v>25</v>
      </c>
      <c r="C10" s="14" t="s">
        <v>26</v>
      </c>
      <c r="D10" s="14" t="s">
        <v>14</v>
      </c>
      <c r="E10" s="14">
        <v>40</v>
      </c>
      <c r="F10" s="8"/>
      <c r="G10" s="8"/>
      <c r="H10" s="27" t="s">
        <v>50</v>
      </c>
      <c r="I10" s="28">
        <f>L9/L10</f>
        <v>1.6402999673948482</v>
      </c>
      <c r="J10" s="17"/>
      <c r="K10" s="25" t="s">
        <v>44</v>
      </c>
      <c r="L10" s="29">
        <f>L11+L12+L13</f>
        <v>80299.636363636368</v>
      </c>
      <c r="M10" s="3"/>
      <c r="N10" s="3"/>
      <c r="O10" s="3"/>
      <c r="P10" s="1"/>
      <c r="Q10" s="1"/>
    </row>
    <row r="11" spans="1:17" ht="56.25" x14ac:dyDescent="0.3">
      <c r="A11" s="18" t="s">
        <v>27</v>
      </c>
      <c r="B11" s="14" t="s">
        <v>28</v>
      </c>
      <c r="C11" s="14" t="s">
        <v>29</v>
      </c>
      <c r="D11" s="14" t="s">
        <v>14</v>
      </c>
      <c r="E11" s="14">
        <v>12</v>
      </c>
      <c r="F11" s="8"/>
      <c r="G11" s="8"/>
      <c r="H11" s="27" t="s">
        <v>51</v>
      </c>
      <c r="I11" s="28">
        <f>1/I10</f>
        <v>0.60964458932972898</v>
      </c>
      <c r="J11" s="17"/>
      <c r="K11" s="30" t="s">
        <v>45</v>
      </c>
      <c r="L11" s="31">
        <f>(D4*D5 + D6*D7)/D15*(1+D8)*(1+D9)*E14</f>
        <v>8509.0909090909099</v>
      </c>
      <c r="M11" s="3"/>
      <c r="N11" s="3"/>
      <c r="O11" s="3"/>
      <c r="P11" s="1"/>
      <c r="Q11" s="1"/>
    </row>
    <row r="12" spans="1:17" ht="75" x14ac:dyDescent="0.3">
      <c r="A12" s="18" t="s">
        <v>30</v>
      </c>
      <c r="B12" s="14" t="s">
        <v>31</v>
      </c>
      <c r="C12" s="14" t="s">
        <v>29</v>
      </c>
      <c r="D12" s="14" t="s">
        <v>14</v>
      </c>
      <c r="E12" s="14">
        <v>6</v>
      </c>
      <c r="F12" s="8"/>
      <c r="G12" s="8"/>
      <c r="H12" s="21"/>
      <c r="I12" s="17"/>
      <c r="J12" s="17"/>
      <c r="K12" s="30" t="s">
        <v>46</v>
      </c>
      <c r="L12" s="32">
        <v>0</v>
      </c>
      <c r="M12" s="3"/>
      <c r="N12" s="3"/>
      <c r="O12" s="3"/>
      <c r="P12" s="1"/>
      <c r="Q12" s="1"/>
    </row>
    <row r="13" spans="1:17" ht="56.25" x14ac:dyDescent="0.3">
      <c r="A13" s="18" t="s">
        <v>32</v>
      </c>
      <c r="B13" s="14" t="s">
        <v>49</v>
      </c>
      <c r="C13" s="24"/>
      <c r="D13" s="14" t="s">
        <v>14</v>
      </c>
      <c r="E13" s="14">
        <v>0.1</v>
      </c>
      <c r="F13" s="8"/>
      <c r="G13" s="8"/>
      <c r="H13" s="33" t="s">
        <v>16</v>
      </c>
      <c r="I13" s="16">
        <f>E6*E7*(1+E8)*(1+E9)/22*12</f>
        <v>42545.454545454544</v>
      </c>
      <c r="J13" s="17"/>
      <c r="K13" s="33" t="s">
        <v>12</v>
      </c>
      <c r="L13" s="34">
        <f>SUM(I13:I15)</f>
        <v>71790.545454545456</v>
      </c>
      <c r="M13" s="3"/>
      <c r="N13" s="3"/>
      <c r="O13" s="3"/>
      <c r="P13" s="1"/>
      <c r="Q13" s="1"/>
    </row>
    <row r="14" spans="1:17" ht="29.25" customHeight="1" x14ac:dyDescent="0.3">
      <c r="A14" s="18" t="s">
        <v>33</v>
      </c>
      <c r="B14" s="14" t="s">
        <v>34</v>
      </c>
      <c r="C14" s="14" t="s">
        <v>35</v>
      </c>
      <c r="D14" s="24"/>
      <c r="E14" s="14">
        <v>0.4</v>
      </c>
      <c r="F14" s="8"/>
      <c r="G14" s="8"/>
      <c r="H14" s="35" t="s">
        <v>19</v>
      </c>
      <c r="I14" s="16">
        <f>12*E10*E12^2</f>
        <v>17280</v>
      </c>
      <c r="J14" s="17"/>
      <c r="K14" s="17"/>
      <c r="L14" s="17"/>
      <c r="M14" s="3"/>
      <c r="N14" s="3"/>
      <c r="O14" s="3"/>
      <c r="P14" s="1"/>
      <c r="Q14" s="1"/>
    </row>
    <row r="15" spans="1:17" ht="56.25" x14ac:dyDescent="0.3">
      <c r="A15" s="18" t="s">
        <v>36</v>
      </c>
      <c r="B15" s="14" t="s">
        <v>37</v>
      </c>
      <c r="C15" s="14" t="s">
        <v>38</v>
      </c>
      <c r="D15" s="14">
        <v>22</v>
      </c>
      <c r="E15" s="14">
        <v>22</v>
      </c>
      <c r="F15" s="8"/>
      <c r="G15" s="8"/>
      <c r="H15" s="33" t="s">
        <v>22</v>
      </c>
      <c r="I15" s="16">
        <f>(I13+I14)*E16</f>
        <v>11965.09090909091</v>
      </c>
      <c r="J15" s="8"/>
      <c r="K15" s="8"/>
      <c r="L15" s="8"/>
      <c r="M15" s="2"/>
      <c r="N15" s="2"/>
      <c r="O15" s="2"/>
    </row>
    <row r="16" spans="1:17" ht="37.5" x14ac:dyDescent="0.3">
      <c r="A16" s="18" t="s">
        <v>39</v>
      </c>
      <c r="B16" s="14" t="s">
        <v>40</v>
      </c>
      <c r="C16" s="24"/>
      <c r="D16" s="14">
        <v>0.1</v>
      </c>
      <c r="E16" s="14">
        <v>0.2</v>
      </c>
      <c r="F16" s="8"/>
      <c r="G16" s="8"/>
      <c r="H16" s="8"/>
      <c r="I16" s="8"/>
      <c r="J16" s="8"/>
      <c r="K16" s="8"/>
      <c r="L16" s="8"/>
      <c r="M16" s="2"/>
      <c r="N16" s="2"/>
      <c r="O16" s="2"/>
    </row>
    <row r="17" spans="1:15" ht="93.75" x14ac:dyDescent="0.3">
      <c r="A17" s="18" t="s">
        <v>41</v>
      </c>
      <c r="B17" s="14" t="s">
        <v>42</v>
      </c>
      <c r="C17" s="14" t="s">
        <v>14</v>
      </c>
      <c r="D17" s="14" t="s">
        <v>14</v>
      </c>
      <c r="E17" s="14">
        <v>0.3</v>
      </c>
      <c r="F17" s="8"/>
      <c r="G17" s="8"/>
      <c r="H17" s="8"/>
      <c r="I17" s="8"/>
      <c r="J17" s="8"/>
      <c r="K17" s="8"/>
      <c r="L17" s="8"/>
      <c r="M17" s="2"/>
      <c r="N17" s="2"/>
      <c r="O17" s="2"/>
    </row>
  </sheetData>
  <mergeCells count="4">
    <mergeCell ref="A2:A3"/>
    <mergeCell ref="B2:B3"/>
    <mergeCell ref="C2:C3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Parakhin</dc:creator>
  <cp:lastModifiedBy>Кирилл Парахин</cp:lastModifiedBy>
  <dcterms:created xsi:type="dcterms:W3CDTF">2024-03-15T09:41:24Z</dcterms:created>
  <dcterms:modified xsi:type="dcterms:W3CDTF">2025-11-18T14:50:42Z</dcterms:modified>
</cp:coreProperties>
</file>