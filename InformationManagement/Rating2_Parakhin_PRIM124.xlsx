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критерии" sheetId="1" r:id="rId1"/>
    <sheet name="методол по критериям" sheetId="2" r:id="rId2"/>
    <sheet name="итог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7" l="1"/>
  <c r="G5" i="7"/>
  <c r="G3" i="7"/>
  <c r="F5" i="7"/>
  <c r="F4" i="7"/>
  <c r="F3" i="7"/>
  <c r="E5" i="7"/>
  <c r="E4" i="7"/>
  <c r="E3" i="7"/>
  <c r="D5" i="7"/>
  <c r="D4" i="7"/>
  <c r="D3" i="7"/>
  <c r="C5" i="7"/>
  <c r="C4" i="7"/>
  <c r="C3" i="7"/>
  <c r="B5" i="7"/>
  <c r="B4" i="7"/>
  <c r="B3" i="7"/>
  <c r="F2" i="7"/>
  <c r="E2" i="7"/>
  <c r="D2" i="7"/>
  <c r="C2" i="7"/>
  <c r="B2" i="7"/>
  <c r="J12" i="2"/>
  <c r="I12" i="2"/>
  <c r="H12" i="2"/>
  <c r="K11" i="2"/>
  <c r="K10" i="2"/>
  <c r="K9" i="2"/>
  <c r="J6" i="2"/>
  <c r="I6" i="2"/>
  <c r="H6" i="2"/>
  <c r="K5" i="2"/>
  <c r="K4" i="2"/>
  <c r="K3" i="2"/>
  <c r="D18" i="2"/>
  <c r="C18" i="2"/>
  <c r="B18" i="2"/>
  <c r="E17" i="2"/>
  <c r="E16" i="2"/>
  <c r="E15" i="2"/>
  <c r="D12" i="2"/>
  <c r="E10" i="2" s="1"/>
  <c r="C12" i="2"/>
  <c r="B12" i="2"/>
  <c r="E11" i="2" s="1"/>
  <c r="B6" i="2"/>
  <c r="E3" i="2" s="1"/>
  <c r="C6" i="2"/>
  <c r="D6" i="2"/>
  <c r="B11" i="1"/>
  <c r="B10" i="1"/>
  <c r="I9" i="1"/>
  <c r="I4" i="1"/>
  <c r="I5" i="1"/>
  <c r="I6" i="1"/>
  <c r="I7" i="1"/>
  <c r="I3" i="1"/>
  <c r="H4" i="1"/>
  <c r="H5" i="1"/>
  <c r="H6" i="1"/>
  <c r="H7" i="1"/>
  <c r="H3" i="1"/>
  <c r="C8" i="1"/>
  <c r="D8" i="1"/>
  <c r="E8" i="1"/>
  <c r="F8" i="1"/>
  <c r="B8" i="1"/>
  <c r="E9" i="2" l="1"/>
  <c r="E5" i="2"/>
  <c r="E4" i="2"/>
</calcChain>
</file>

<file path=xl/sharedStrings.xml><?xml version="1.0" encoding="utf-8"?>
<sst xmlns="http://schemas.openxmlformats.org/spreadsheetml/2006/main" count="73" uniqueCount="36">
  <si>
    <t>Критерий</t>
  </si>
  <si>
    <t>Гибкость</t>
  </si>
  <si>
    <t>Скорость</t>
  </si>
  <si>
    <t>Масштабируемость</t>
  </si>
  <si>
    <t>Сложность</t>
  </si>
  <si>
    <t>Данные</t>
  </si>
  <si>
    <t>Гибкость (C1)</t>
  </si>
  <si>
    <t>Скорость (C2)</t>
  </si>
  <si>
    <t>Масштабируемость (C3)</t>
  </si>
  <si>
    <t>Сложность (C4)</t>
  </si>
  <si>
    <t>Данные (C5)</t>
  </si>
  <si>
    <t>Суммарные по столбцам</t>
  </si>
  <si>
    <t>Среднее лямбда макс</t>
  </si>
  <si>
    <t>Приоритетный вектор (W)</t>
  </si>
  <si>
    <t>Вектор согласованности (BC)</t>
  </si>
  <si>
    <t>Лямбда макс (ВС/W)</t>
  </si>
  <si>
    <t>ИС (индекс согласованности)</t>
  </si>
  <si>
    <t>ОС (ИС/СИ средн)</t>
  </si>
  <si>
    <t>или 4%</t>
  </si>
  <si>
    <t>TOGAF</t>
  </si>
  <si>
    <t>Zachman</t>
  </si>
  <si>
    <t>Agile/SAFe</t>
  </si>
  <si>
    <t>Приоритет</t>
  </si>
  <si>
    <t>Суммарные</t>
  </si>
  <si>
    <t>С1: Гибкость и адаптивность</t>
  </si>
  <si>
    <t>С2: Скорость внедрения</t>
  </si>
  <si>
    <t>С3: Масштабируемость</t>
  </si>
  <si>
    <t>С4: Сложность освоения</t>
  </si>
  <si>
    <t>С5: Поддержка управления данными</t>
  </si>
  <si>
    <t>Togaf</t>
  </si>
  <si>
    <t xml:space="preserve">C1 </t>
  </si>
  <si>
    <t>C2</t>
  </si>
  <si>
    <t>C3</t>
  </si>
  <si>
    <t>C4</t>
  </si>
  <si>
    <t>C5</t>
  </si>
  <si>
    <t>Глобальный приоритет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</si>
</sst>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8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68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A11" sqref="A11"/>
    </sheetView>
  </sheetViews>
  <sheetFormatPr defaultRowHeight="15" x14ac:dyDescent="0.25"/>
  <cols>
    <col min="1" max="1" width="27.5703125" customWidth="1"/>
    <col min="2" max="2" width="14.140625" customWidth="1"/>
    <col min="3" max="3" width="17.140625" customWidth="1"/>
    <col min="4" max="4" width="18.85546875" customWidth="1"/>
    <col min="5" max="5" width="17.7109375" customWidth="1"/>
    <col min="6" max="6" width="18.28515625" customWidth="1"/>
    <col min="7" max="7" width="25.85546875" customWidth="1"/>
    <col min="8" max="8" width="27.140625" customWidth="1"/>
    <col min="9" max="9" width="20.85546875" customWidth="1"/>
  </cols>
  <sheetData>
    <row r="1" spans="1:9" x14ac:dyDescent="0.25">
      <c r="A1" s="2"/>
      <c r="B1" s="2"/>
      <c r="C1" s="2"/>
      <c r="D1" s="2"/>
      <c r="E1" s="2"/>
      <c r="F1" s="2"/>
      <c r="G1" s="2"/>
      <c r="H1" s="1"/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13</v>
      </c>
      <c r="H2" s="1" t="s">
        <v>14</v>
      </c>
      <c r="I2" s="2" t="s">
        <v>15</v>
      </c>
    </row>
    <row r="3" spans="1:9" x14ac:dyDescent="0.25">
      <c r="A3" s="2" t="s">
        <v>6</v>
      </c>
      <c r="B3" s="1">
        <v>1</v>
      </c>
      <c r="C3" s="1">
        <v>3</v>
      </c>
      <c r="D3" s="1">
        <v>2</v>
      </c>
      <c r="E3" s="1">
        <v>5</v>
      </c>
      <c r="F3" s="1">
        <v>3</v>
      </c>
      <c r="G3" s="1">
        <v>0.374</v>
      </c>
      <c r="H3" s="1">
        <f>B3*$G$3+C3*$G$4+D3*$G$5+E3*$G$6+F3*$G$7</f>
        <v>2.1230000000000002</v>
      </c>
      <c r="I3" s="1">
        <f>H3/G3</f>
        <v>5.6764705882352944</v>
      </c>
    </row>
    <row r="4" spans="1:9" x14ac:dyDescent="0.25">
      <c r="A4" s="2" t="s">
        <v>7</v>
      </c>
      <c r="B4" s="1">
        <v>0.33</v>
      </c>
      <c r="C4" s="1">
        <v>1</v>
      </c>
      <c r="D4" s="1">
        <v>0.5</v>
      </c>
      <c r="E4" s="1">
        <v>3</v>
      </c>
      <c r="F4" s="1">
        <v>0.5</v>
      </c>
      <c r="G4" s="1">
        <v>0.11799999999999999</v>
      </c>
      <c r="H4" s="1">
        <f t="shared" ref="H4:H7" si="0">B4*$G$3+C4*$G$4+D4*$G$5+E4*$G$6+F4*$G$7</f>
        <v>0.6404200000000001</v>
      </c>
      <c r="I4" s="1">
        <f t="shared" ref="I4:I7" si="1">H4/G4</f>
        <v>5.4272881355932219</v>
      </c>
    </row>
    <row r="5" spans="1:9" x14ac:dyDescent="0.25">
      <c r="A5" s="2" t="s">
        <v>8</v>
      </c>
      <c r="B5" s="1">
        <v>0.5</v>
      </c>
      <c r="C5" s="1">
        <v>2</v>
      </c>
      <c r="D5" s="1">
        <v>1</v>
      </c>
      <c r="E5" s="1">
        <v>3</v>
      </c>
      <c r="F5" s="1">
        <v>2</v>
      </c>
      <c r="G5" s="1">
        <v>0.245</v>
      </c>
      <c r="H5" s="1">
        <f t="shared" si="0"/>
        <v>1.252</v>
      </c>
      <c r="I5" s="1">
        <f t="shared" si="1"/>
        <v>5.1102040816326531</v>
      </c>
    </row>
    <row r="6" spans="1:9" x14ac:dyDescent="0.25">
      <c r="A6" s="2" t="s">
        <v>9</v>
      </c>
      <c r="B6" s="1">
        <v>0.2</v>
      </c>
      <c r="C6" s="1">
        <v>0.33</v>
      </c>
      <c r="D6" s="1">
        <v>0.33</v>
      </c>
      <c r="E6" s="1">
        <v>1</v>
      </c>
      <c r="F6" s="1">
        <v>0.33</v>
      </c>
      <c r="G6" s="1">
        <v>5.8000000000000003E-2</v>
      </c>
      <c r="H6" s="1">
        <f t="shared" si="0"/>
        <v>0.32024000000000002</v>
      </c>
      <c r="I6" s="1">
        <f t="shared" si="1"/>
        <v>5.5213793103448277</v>
      </c>
    </row>
    <row r="7" spans="1:9" x14ac:dyDescent="0.25">
      <c r="A7" s="2" t="s">
        <v>10</v>
      </c>
      <c r="B7" s="1">
        <v>0.33</v>
      </c>
      <c r="C7" s="1">
        <v>2</v>
      </c>
      <c r="D7" s="1">
        <v>0.5</v>
      </c>
      <c r="E7" s="1">
        <v>3</v>
      </c>
      <c r="F7" s="1">
        <v>1</v>
      </c>
      <c r="G7" s="1">
        <v>0.20499999999999999</v>
      </c>
      <c r="H7" s="1">
        <f t="shared" si="0"/>
        <v>0.86091999999999991</v>
      </c>
      <c r="I7" s="1">
        <f t="shared" si="1"/>
        <v>4.1996097560975612</v>
      </c>
    </row>
    <row r="8" spans="1:9" x14ac:dyDescent="0.25">
      <c r="A8" s="1" t="s">
        <v>11</v>
      </c>
      <c r="B8" s="1">
        <f>SUM(B3:B7)</f>
        <v>2.3600000000000003</v>
      </c>
      <c r="C8" s="1">
        <f t="shared" ref="C8:F8" si="2">SUM(C3:C7)</f>
        <v>8.33</v>
      </c>
      <c r="D8" s="1">
        <f t="shared" si="2"/>
        <v>4.33</v>
      </c>
      <c r="E8" s="1">
        <f t="shared" si="2"/>
        <v>15</v>
      </c>
      <c r="F8" s="1">
        <f t="shared" si="2"/>
        <v>6.83</v>
      </c>
      <c r="G8" s="1"/>
      <c r="H8" s="1"/>
      <c r="I8" t="s">
        <v>12</v>
      </c>
    </row>
    <row r="9" spans="1:9" x14ac:dyDescent="0.25">
      <c r="A9" s="1"/>
      <c r="B9" s="1"/>
      <c r="C9" s="1"/>
      <c r="D9" s="1"/>
      <c r="E9" s="1"/>
      <c r="F9" s="1"/>
      <c r="G9" s="1"/>
      <c r="H9" s="1"/>
      <c r="I9" s="1">
        <f>AVERAGE(I3:I7)</f>
        <v>5.1869903743807111</v>
      </c>
    </row>
    <row r="10" spans="1:9" x14ac:dyDescent="0.25">
      <c r="A10" s="1" t="s">
        <v>16</v>
      </c>
      <c r="B10" s="1">
        <f>(I9-5)/(5-1)</f>
        <v>4.6747593595177772E-2</v>
      </c>
      <c r="C10" s="1"/>
      <c r="D10" s="1"/>
      <c r="E10" s="1"/>
      <c r="F10" s="1"/>
      <c r="G10" s="1"/>
      <c r="H10" s="1"/>
    </row>
    <row r="11" spans="1:9" x14ac:dyDescent="0.25">
      <c r="A11" s="1" t="s">
        <v>17</v>
      </c>
      <c r="B11" s="3">
        <f>B10/1.12</f>
        <v>4.1738922852837292E-2</v>
      </c>
      <c r="C11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E23" sqref="E23"/>
    </sheetView>
  </sheetViews>
  <sheetFormatPr defaultRowHeight="15" x14ac:dyDescent="0.25"/>
  <cols>
    <col min="1" max="1" width="13.28515625" customWidth="1"/>
    <col min="2" max="2" width="16.140625" customWidth="1"/>
    <col min="3" max="3" width="9.28515625" bestFit="1" customWidth="1"/>
    <col min="4" max="4" width="17.140625" customWidth="1"/>
    <col min="5" max="5" width="11.42578125" customWidth="1"/>
    <col min="7" max="7" width="13.7109375" customWidth="1"/>
    <col min="8" max="8" width="12.28515625" customWidth="1"/>
    <col min="9" max="9" width="13.42578125" customWidth="1"/>
    <col min="10" max="10" width="12.42578125" customWidth="1"/>
    <col min="11" max="11" width="13.5703125" customWidth="1"/>
  </cols>
  <sheetData>
    <row r="1" spans="1:11" x14ac:dyDescent="0.25">
      <c r="A1" s="4" t="s">
        <v>24</v>
      </c>
      <c r="B1" s="4"/>
      <c r="C1" s="4"/>
      <c r="D1" s="4"/>
      <c r="E1" s="4"/>
      <c r="G1" s="4" t="s">
        <v>27</v>
      </c>
      <c r="H1" s="4"/>
      <c r="I1" s="4"/>
      <c r="J1" s="4"/>
      <c r="K1" s="4"/>
    </row>
    <row r="2" spans="1:11" x14ac:dyDescent="0.25">
      <c r="B2" t="s">
        <v>19</v>
      </c>
      <c r="C2" t="s">
        <v>20</v>
      </c>
      <c r="D2" t="s">
        <v>21</v>
      </c>
      <c r="E2" t="s">
        <v>22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25">
      <c r="A3" t="s">
        <v>19</v>
      </c>
      <c r="B3" s="1">
        <v>1</v>
      </c>
      <c r="C3" s="1">
        <v>3</v>
      </c>
      <c r="D3" s="1">
        <v>0.33300000000000002</v>
      </c>
      <c r="E3" s="1">
        <f>AVERAGE(B3/B6 + C3/C6 + D3/D6)/3</f>
        <v>0.26044715065893725</v>
      </c>
      <c r="G3" t="s">
        <v>19</v>
      </c>
      <c r="H3" s="1">
        <v>1</v>
      </c>
      <c r="I3" s="1">
        <v>0.33300000000000002</v>
      </c>
      <c r="J3" s="1">
        <v>0.5</v>
      </c>
      <c r="K3" s="1">
        <f>AVERAGE(H3/H6 + I3/I6 + J3/J6)/3</f>
        <v>0.15358001505872129</v>
      </c>
    </row>
    <row r="4" spans="1:11" x14ac:dyDescent="0.25">
      <c r="A4" t="s">
        <v>20</v>
      </c>
      <c r="B4" s="1">
        <v>0.33300000000000002</v>
      </c>
      <c r="C4" s="1">
        <v>1</v>
      </c>
      <c r="D4" s="1">
        <v>0.2</v>
      </c>
      <c r="E4" s="1">
        <f>AVERAGE(B4/B6 + C4/C6 + D4/D6)/3</f>
        <v>0.10614210693879626</v>
      </c>
      <c r="G4" t="s">
        <v>20</v>
      </c>
      <c r="H4" s="1">
        <v>3</v>
      </c>
      <c r="I4" s="1">
        <v>1</v>
      </c>
      <c r="J4" s="1">
        <v>0.33300000000000002</v>
      </c>
      <c r="K4" s="1">
        <f>AVERAGE(H4/H6 + I4/I6 + J4/J6)/3</f>
        <v>0.24859657046093644</v>
      </c>
    </row>
    <row r="5" spans="1:11" x14ac:dyDescent="0.25">
      <c r="A5" t="s">
        <v>21</v>
      </c>
      <c r="B5" s="1">
        <v>3</v>
      </c>
      <c r="C5" s="1">
        <v>5</v>
      </c>
      <c r="D5" s="1">
        <v>1</v>
      </c>
      <c r="E5" s="1">
        <f>AVERAGE(B5/B6 + C5/C6 + D5/D6)/3</f>
        <v>0.63341074240226647</v>
      </c>
      <c r="G5" t="s">
        <v>21</v>
      </c>
      <c r="H5" s="1">
        <v>5</v>
      </c>
      <c r="I5" s="1">
        <v>3</v>
      </c>
      <c r="J5" s="1">
        <v>1</v>
      </c>
      <c r="K5" s="1">
        <f>AVERAGE(H5/H6 + I5/I6 + J5/J6)/3</f>
        <v>0.59782341448034226</v>
      </c>
    </row>
    <row r="6" spans="1:11" x14ac:dyDescent="0.25">
      <c r="A6" t="s">
        <v>23</v>
      </c>
      <c r="B6" s="1">
        <f>SUM(B3:B5)</f>
        <v>4.3330000000000002</v>
      </c>
      <c r="C6" s="1">
        <f>SUM(C3:C5)</f>
        <v>9</v>
      </c>
      <c r="D6" s="1">
        <f>SUM(D3:D5)</f>
        <v>1.5329999999999999</v>
      </c>
      <c r="G6" t="s">
        <v>23</v>
      </c>
      <c r="H6" s="1">
        <f>SUM(H3:H5)</f>
        <v>9</v>
      </c>
      <c r="I6" s="1">
        <f>SUM(I3:I5)</f>
        <v>4.3330000000000002</v>
      </c>
      <c r="J6" s="1">
        <f>SUM(J3:J5)</f>
        <v>1.833</v>
      </c>
    </row>
    <row r="7" spans="1:11" x14ac:dyDescent="0.25">
      <c r="A7" s="4" t="s">
        <v>25</v>
      </c>
      <c r="B7" s="4"/>
      <c r="C7" s="4"/>
      <c r="D7" s="4"/>
      <c r="E7" s="4"/>
      <c r="G7" s="4" t="s">
        <v>28</v>
      </c>
      <c r="H7" s="4"/>
      <c r="I7" s="4"/>
      <c r="J7" s="4"/>
      <c r="K7" s="4"/>
    </row>
    <row r="8" spans="1:11" x14ac:dyDescent="0.25">
      <c r="B8" t="s">
        <v>19</v>
      </c>
      <c r="C8" t="s">
        <v>20</v>
      </c>
      <c r="D8" t="s">
        <v>21</v>
      </c>
      <c r="E8" t="s">
        <v>22</v>
      </c>
      <c r="H8" t="s">
        <v>19</v>
      </c>
      <c r="I8" t="s">
        <v>20</v>
      </c>
      <c r="J8" t="s">
        <v>21</v>
      </c>
      <c r="K8" t="s">
        <v>22</v>
      </c>
    </row>
    <row r="9" spans="1:11" x14ac:dyDescent="0.25">
      <c r="A9" t="s">
        <v>19</v>
      </c>
      <c r="B9" s="1">
        <v>1</v>
      </c>
      <c r="C9" s="1">
        <v>2</v>
      </c>
      <c r="D9" s="1">
        <v>0.2</v>
      </c>
      <c r="E9" s="1">
        <f>AVERAGE(B9/B12 + C9/C12 + D9/D12)/3</f>
        <v>0.18223443223443225</v>
      </c>
      <c r="G9" t="s">
        <v>19</v>
      </c>
      <c r="H9" s="1">
        <v>1</v>
      </c>
      <c r="I9" s="1">
        <v>1</v>
      </c>
      <c r="J9" s="1">
        <v>3</v>
      </c>
      <c r="K9" s="1">
        <f>AVERAGE(H9/H12 + I9/I12 + J9/J12)/3</f>
        <v>0.42861225072969605</v>
      </c>
    </row>
    <row r="10" spans="1:11" x14ac:dyDescent="0.25">
      <c r="A10" t="s">
        <v>20</v>
      </c>
      <c r="B10" s="1">
        <v>0.5</v>
      </c>
      <c r="C10" s="1">
        <v>1</v>
      </c>
      <c r="D10" s="1">
        <v>0.2</v>
      </c>
      <c r="E10" s="1">
        <f>AVERAGE(B10/B12 + C10/C12 + D10/D12)/3</f>
        <v>0.11492673992673992</v>
      </c>
      <c r="G10" t="s">
        <v>20</v>
      </c>
      <c r="H10" s="1">
        <v>1</v>
      </c>
      <c r="I10" s="1">
        <v>1</v>
      </c>
      <c r="J10" s="1">
        <v>3</v>
      </c>
      <c r="K10" s="1">
        <f>AVERAGE(H10/H12 + I10/I12 + J10/J12)/3</f>
        <v>0.42861225072969605</v>
      </c>
    </row>
    <row r="11" spans="1:11" x14ac:dyDescent="0.25">
      <c r="A11" t="s">
        <v>21</v>
      </c>
      <c r="B11" s="1">
        <v>5</v>
      </c>
      <c r="C11" s="1">
        <v>5</v>
      </c>
      <c r="D11" s="1">
        <v>1</v>
      </c>
      <c r="E11" s="1">
        <f>AVERAGE(B11/B12 + C11/C12 + D11/D12)/3</f>
        <v>0.7028388278388279</v>
      </c>
      <c r="G11" t="s">
        <v>21</v>
      </c>
      <c r="H11" s="1">
        <v>0.33300000000000002</v>
      </c>
      <c r="I11" s="1">
        <v>0.33300000000000002</v>
      </c>
      <c r="J11" s="1">
        <v>1</v>
      </c>
      <c r="K11" s="1">
        <f>AVERAGE(H11/H12 + I11/I12 + J11/J12)/3</f>
        <v>0.14277549854060784</v>
      </c>
    </row>
    <row r="12" spans="1:11" x14ac:dyDescent="0.25">
      <c r="A12" t="s">
        <v>23</v>
      </c>
      <c r="B12" s="1">
        <f>SUM(B9:B11)</f>
        <v>6.5</v>
      </c>
      <c r="C12" s="1">
        <f>SUM(C9:C11)</f>
        <v>8</v>
      </c>
      <c r="D12" s="1">
        <f>SUM(D9:D11)</f>
        <v>1.4</v>
      </c>
      <c r="G12" t="s">
        <v>23</v>
      </c>
      <c r="H12" s="1">
        <f>SUM(H9:H11)</f>
        <v>2.3330000000000002</v>
      </c>
      <c r="I12" s="1">
        <f>SUM(I9:I11)</f>
        <v>2.3330000000000002</v>
      </c>
      <c r="J12" s="1">
        <f>SUM(J9:J11)</f>
        <v>7</v>
      </c>
    </row>
    <row r="13" spans="1:11" x14ac:dyDescent="0.25">
      <c r="A13" s="4" t="s">
        <v>26</v>
      </c>
      <c r="B13" s="4"/>
      <c r="C13" s="4"/>
      <c r="D13" s="4"/>
      <c r="E13" s="4"/>
    </row>
    <row r="14" spans="1:11" x14ac:dyDescent="0.25">
      <c r="B14" t="s">
        <v>19</v>
      </c>
      <c r="C14" t="s">
        <v>20</v>
      </c>
      <c r="D14" t="s">
        <v>21</v>
      </c>
      <c r="E14" t="s">
        <v>22</v>
      </c>
    </row>
    <row r="15" spans="1:11" x14ac:dyDescent="0.25">
      <c r="A15" t="s">
        <v>19</v>
      </c>
      <c r="B15" s="1">
        <v>1</v>
      </c>
      <c r="C15" s="1">
        <v>3</v>
      </c>
      <c r="D15" s="1">
        <v>2</v>
      </c>
      <c r="E15" s="1">
        <f>AVERAGE(B15/B18 + C15/C18 + D15/D18)/3</f>
        <v>0.53899410282389004</v>
      </c>
    </row>
    <row r="16" spans="1:11" x14ac:dyDescent="0.25">
      <c r="A16" t="s">
        <v>20</v>
      </c>
      <c r="B16" s="1">
        <v>0.33300000000000002</v>
      </c>
      <c r="C16" s="1">
        <v>1</v>
      </c>
      <c r="D16" s="1">
        <v>0.5</v>
      </c>
      <c r="E16" s="1">
        <f>AVERAGE(B16/B18 + C16/C18 + D16/D18)/3</f>
        <v>0.16373106798638712</v>
      </c>
    </row>
    <row r="17" spans="1:5" x14ac:dyDescent="0.25">
      <c r="A17" t="s">
        <v>21</v>
      </c>
      <c r="B17" s="1">
        <v>0.5</v>
      </c>
      <c r="C17" s="1">
        <v>2</v>
      </c>
      <c r="D17" s="1">
        <v>1</v>
      </c>
      <c r="E17" s="1">
        <f>AVERAGE(B17/B18 + C17/C18 + D17/D18)/3</f>
        <v>0.29727482918972281</v>
      </c>
    </row>
    <row r="18" spans="1:5" x14ac:dyDescent="0.25">
      <c r="A18" t="s">
        <v>23</v>
      </c>
      <c r="B18" s="1">
        <f>SUM(B15:B17)</f>
        <v>1.833</v>
      </c>
      <c r="C18" s="1">
        <f>SUM(C15:C17)</f>
        <v>6</v>
      </c>
      <c r="D18" s="1">
        <f>SUM(D15:D17)</f>
        <v>3.5</v>
      </c>
    </row>
  </sheetData>
  <mergeCells count="5">
    <mergeCell ref="A1:E1"/>
    <mergeCell ref="A7:E7"/>
    <mergeCell ref="A13:E13"/>
    <mergeCell ref="G1:K1"/>
    <mergeCell ref="G7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H3" sqref="H3"/>
    </sheetView>
  </sheetViews>
  <sheetFormatPr defaultRowHeight="15" x14ac:dyDescent="0.25"/>
  <cols>
    <col min="1" max="1" width="12.28515625" customWidth="1"/>
    <col min="7" max="7" width="26" customWidth="1"/>
  </cols>
  <sheetData>
    <row r="1" spans="1:7" x14ac:dyDescent="0.25">
      <c r="B1" t="s">
        <v>30</v>
      </c>
      <c r="C1" t="s">
        <v>31</v>
      </c>
      <c r="D1" t="s">
        <v>32</v>
      </c>
      <c r="E1" t="s">
        <v>33</v>
      </c>
      <c r="F1" t="s">
        <v>34</v>
      </c>
      <c r="G1" s="4" t="s">
        <v>35</v>
      </c>
    </row>
    <row r="2" spans="1:7" x14ac:dyDescent="0.25">
      <c r="B2" s="5">
        <f>критерии!G3</f>
        <v>0.374</v>
      </c>
      <c r="C2" s="5">
        <f>критерии!G4</f>
        <v>0.11799999999999999</v>
      </c>
      <c r="D2" s="5">
        <f>критерии!G5</f>
        <v>0.245</v>
      </c>
      <c r="E2" s="5">
        <f>критерии!G6</f>
        <v>5.8000000000000003E-2</v>
      </c>
      <c r="F2" s="5">
        <f>критерии!G7</f>
        <v>0.20499999999999999</v>
      </c>
      <c r="G2" s="4"/>
    </row>
    <row r="3" spans="1:7" x14ac:dyDescent="0.25">
      <c r="A3" t="s">
        <v>29</v>
      </c>
      <c r="B3" s="1">
        <f>'методол по критериям'!E3</f>
        <v>0.26044715065893725</v>
      </c>
      <c r="C3" s="1">
        <f>'методол по критериям'!E9</f>
        <v>0.18223443223443225</v>
      </c>
      <c r="D3" s="1">
        <f>'методол по критериям'!E15</f>
        <v>0.53899410282389004</v>
      </c>
      <c r="E3" s="1">
        <f>'методол по критериям'!K3</f>
        <v>0.15358001505872129</v>
      </c>
      <c r="F3" s="1">
        <f>'методол по критериям'!K9</f>
        <v>0.42861225072969605</v>
      </c>
      <c r="G3" s="1">
        <f>$B$2*B3 + $C$2*C3 + $D$2*D3 + $E$2*E3 + $F$2*F3</f>
        <v>0.34773760481495214</v>
      </c>
    </row>
    <row r="4" spans="1:7" x14ac:dyDescent="0.25">
      <c r="A4" t="s">
        <v>20</v>
      </c>
      <c r="B4" s="1">
        <f>'методол по критериям'!E4</f>
        <v>0.10614210693879626</v>
      </c>
      <c r="C4" s="1">
        <f>'методол по критериям'!E10</f>
        <v>0.11492673992673992</v>
      </c>
      <c r="D4" s="1">
        <f>'методол по критериям'!E16</f>
        <v>0.16373106798638712</v>
      </c>
      <c r="E4" s="1">
        <f>'методол по критериям'!K4</f>
        <v>0.24859657046093644</v>
      </c>
      <c r="F4" s="1">
        <f>'методол по критериям'!K10</f>
        <v>0.42861225072969605</v>
      </c>
      <c r="G4" s="1">
        <f t="shared" ref="G4:G5" si="0">$B$2*B4 + $C$2*C4 + $D$2*D4 + $E$2*E4 + $F$2*F4</f>
        <v>0.19565672744945195</v>
      </c>
    </row>
    <row r="5" spans="1:7" x14ac:dyDescent="0.25">
      <c r="A5" t="s">
        <v>21</v>
      </c>
      <c r="B5" s="1">
        <f>'методол по критериям'!E5</f>
        <v>0.63341074240226647</v>
      </c>
      <c r="C5" s="1">
        <f>'методол по критериям'!E11</f>
        <v>0.7028388278388279</v>
      </c>
      <c r="D5" s="1">
        <f>'методол по критериям'!E17</f>
        <v>0.29727482918972281</v>
      </c>
      <c r="E5" s="1">
        <f>'методол по критериям'!K5</f>
        <v>0.59782341448034226</v>
      </c>
      <c r="F5" s="1">
        <f>'методол по критериям'!K11</f>
        <v>0.14277549854060784</v>
      </c>
      <c r="G5" s="1">
        <f t="shared" si="0"/>
        <v>0.45660566773559585</v>
      </c>
    </row>
  </sheetData>
  <mergeCells count="1"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критерии</vt:lpstr>
      <vt:lpstr>методол по критериям</vt:lpstr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2025-11-18T16:26:50Z</dcterms:modified>
</cp:coreProperties>
</file>